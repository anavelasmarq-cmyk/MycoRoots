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5149385b3033dda/UNIVERSIDAD/TFG/"/>
    </mc:Choice>
  </mc:AlternateContent>
  <xr:revisionPtr revIDLastSave="140" documentId="13_ncr:1_{38D70F6E-573D-4513-8CA0-3B0CAD4F54E0}" xr6:coauthVersionLast="47" xr6:coauthVersionMax="47" xr10:uidLastSave="{ABA02FC2-F94B-4C71-86CF-252147B2BE59}"/>
  <bookViews>
    <workbookView xWindow="-108" yWindow="-108" windowWidth="23256" windowHeight="12456" activeTab="1" xr2:uid="{00000000-000D-0000-FFFF-FFFF00000000}"/>
  </bookViews>
  <sheets>
    <sheet name="CATÁLOGO DE ESPECIES" sheetId="1" r:id="rId1"/>
    <sheet name="PRECIOS" sheetId="4" r:id="rId2"/>
    <sheet name="LEYENDA DE CÓDIGOS" sheetId="2" r:id="rId3"/>
    <sheet name="ÍNDICE PYTH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5" i="1"/>
  <c r="R16" i="1"/>
  <c r="R17" i="1"/>
  <c r="R18" i="1"/>
  <c r="R19" i="1"/>
  <c r="R20" i="1"/>
  <c r="R21" i="1"/>
  <c r="R22" i="1"/>
  <c r="R23" i="1"/>
  <c r="R13" i="1"/>
  <c r="R25" i="1"/>
  <c r="R26" i="1"/>
  <c r="R27" i="1"/>
  <c r="R28" i="1"/>
  <c r="R29" i="1"/>
  <c r="R30" i="1"/>
  <c r="R31" i="1"/>
  <c r="R24" i="1"/>
  <c r="R33" i="1"/>
  <c r="R34" i="1"/>
  <c r="R35" i="1"/>
  <c r="R36" i="1"/>
  <c r="R37" i="1"/>
  <c r="R38" i="1"/>
  <c r="R39" i="1"/>
  <c r="R40" i="1"/>
  <c r="R41" i="1"/>
  <c r="R42" i="1"/>
  <c r="R32" i="1"/>
  <c r="R5" i="1"/>
  <c r="R6" i="1"/>
  <c r="R7" i="1"/>
  <c r="R8" i="1"/>
  <c r="R9" i="1"/>
  <c r="R10" i="1"/>
  <c r="R11" i="1"/>
  <c r="R12" i="1"/>
  <c r="R4" i="1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<sst xmlns="http://schemas.openxmlformats.org/spreadsheetml/2006/main" count="1100" uniqueCount="343">
  <si>
    <t>CATÁLOGO DE ESPECIES — MICROBOSQUE URBANO MIYAWAKI · CÓRDOBA  (39 especies autóctonas)</t>
  </si>
  <si>
    <t>CÓD.
ESPECIE</t>
  </si>
  <si>
    <t>NOMBRE COMÚN</t>
  </si>
  <si>
    <t>NOMBRE CIENTÍFICO</t>
  </si>
  <si>
    <t>CÓD.
ESTRATO</t>
  </si>
  <si>
    <t>ESTRATO</t>
  </si>
  <si>
    <t>Alt.
mín (m)</t>
  </si>
  <si>
    <t>Alt.
máx (m)</t>
  </si>
  <si>
    <t>CÓD.
HOJA</t>
  </si>
  <si>
    <t>CÓD.
AGUA</t>
  </si>
  <si>
    <t>CÓD.
SUELO</t>
  </si>
  <si>
    <t>CÓD.
FAUNA</t>
  </si>
  <si>
    <t>ESPINAS</t>
  </si>
  <si>
    <t>ALERGIAS</t>
  </si>
  <si>
    <t>FLORACIÓN
(meses)</t>
  </si>
  <si>
    <t>COLOR
DE FLOR</t>
  </si>
  <si>
    <t>COLOR
(muestra)</t>
  </si>
  <si>
    <t>FRUCTIF.</t>
  </si>
  <si>
    <t>CAT.
PRECIO</t>
  </si>
  <si>
    <t>PRECIO
ref.(€/ud)</t>
  </si>
  <si>
    <t>PLANTAS
/m²</t>
  </si>
  <si>
    <t>POSICIÓN
PREF.</t>
  </si>
  <si>
    <t>JUSTIFICACIÓN</t>
  </si>
  <si>
    <t>CA01</t>
  </si>
  <si>
    <t>Tomillo blanco / mejorana</t>
  </si>
  <si>
    <t>Thymus mastichina</t>
  </si>
  <si>
    <t>CA</t>
  </si>
  <si>
    <t>Caméfitas &lt;1 m</t>
  </si>
  <si>
    <t>PE</t>
  </si>
  <si>
    <t>MB</t>
  </si>
  <si>
    <t>M</t>
  </si>
  <si>
    <t>A</t>
  </si>
  <si>
    <t>No</t>
  </si>
  <si>
    <t>IV–VI</t>
  </si>
  <si>
    <t>Blanco / crema</t>
  </si>
  <si>
    <t>verano</t>
  </si>
  <si>
    <t>ECO</t>
  </si>
  <si>
    <t>0,95</t>
  </si>
  <si>
    <t>BORDE</t>
  </si>
  <si>
    <t>Especie base de borde: resistente a sequía y calor; refuerza polinizadores</t>
  </si>
  <si>
    <t>CA02</t>
  </si>
  <si>
    <t>Tomillo salsero</t>
  </si>
  <si>
    <t>Thymus zygis subsp. gracilis</t>
  </si>
  <si>
    <t>Blanco / rosa pálido</t>
  </si>
  <si>
    <t>0,90</t>
  </si>
  <si>
    <t>Tapizante aromático; continuidad de floración primaveral con mínima demanda hídrica</t>
  </si>
  <si>
    <t>CA03</t>
  </si>
  <si>
    <t>Tomillo aceitunero</t>
  </si>
  <si>
    <t>Thymbra capitata</t>
  </si>
  <si>
    <t>MA</t>
  </si>
  <si>
    <t>V–VII</t>
  </si>
  <si>
    <t>Rosa / lila</t>
  </si>
  <si>
    <t>Máxima tolerancia a sequía estival y sustratos pobres; alta oferta floral</t>
  </si>
  <si>
    <t>CA04</t>
  </si>
  <si>
    <t>Romero</t>
  </si>
  <si>
    <t>Salvia rosmarinus</t>
  </si>
  <si>
    <t>IX–V</t>
  </si>
  <si>
    <t>Azul violáceo / lila</t>
  </si>
  <si>
    <t>primavera–verano</t>
  </si>
  <si>
    <t>1,05</t>
  </si>
  <si>
    <t>Floración prolongada, soporte a polinizadores; gran resiliencia mediterránea</t>
  </si>
  <si>
    <t>CA05</t>
  </si>
  <si>
    <t>Cantueso</t>
  </si>
  <si>
    <t>Lavandula stoechas</t>
  </si>
  <si>
    <t>III–VI</t>
  </si>
  <si>
    <t>Púrpura / violeta oscuro</t>
  </si>
  <si>
    <t>1,00</t>
  </si>
  <si>
    <t>Especie emblema de borde mediterráneo; maximiza atracción de polinizadores</t>
  </si>
  <si>
    <t>CA06</t>
  </si>
  <si>
    <t>Cantueso de rabo largo</t>
  </si>
  <si>
    <t>Lavandula pedunculata</t>
  </si>
  <si>
    <t>II–VI</t>
  </si>
  <si>
    <t>Púrpura con brácteas rosas</t>
  </si>
  <si>
    <t>Complementa a L. stoechas ampliando ventana de floración y diversidad fenológica</t>
  </si>
  <si>
    <t>CA07</t>
  </si>
  <si>
    <t>Siempreviva</t>
  </si>
  <si>
    <t>Helichrysum stoechas</t>
  </si>
  <si>
    <t>IV–VII</t>
  </si>
  <si>
    <t>Amarillo dorado</t>
  </si>
  <si>
    <t>Diversidad funcional (Asteraceae); color estival en suelos pobres</t>
  </si>
  <si>
    <t>CA08</t>
  </si>
  <si>
    <t>Tomillo borde</t>
  </si>
  <si>
    <t>Teucrium capitatum</t>
  </si>
  <si>
    <t>Rosa / blanco rosado</t>
  </si>
  <si>
    <t>Refuerza el cinturón xerófilo exterior; tolera condiciones de máxima insolación</t>
  </si>
  <si>
    <t>CA09</t>
  </si>
  <si>
    <t>Jara negra</t>
  </si>
  <si>
    <t>Cistus salviifolius</t>
  </si>
  <si>
    <t>B</t>
  </si>
  <si>
    <t>II–V</t>
  </si>
  <si>
    <t>Blanco con mancha amarilla basal</t>
  </si>
  <si>
    <t>1,12</t>
  </si>
  <si>
    <t>BORDE-INTERIOR</t>
  </si>
  <si>
    <t>Matorral serial clásico; aporta estructura baja y floración en fases tempranas</t>
  </si>
  <si>
    <t>MI01</t>
  </si>
  <si>
    <t>Lentisco</t>
  </si>
  <si>
    <t>Pistacia lentiscus</t>
  </si>
  <si>
    <t>MI</t>
  </si>
  <si>
    <t>Microfanerófitas 1–3 m</t>
  </si>
  <si>
    <t>IV–V</t>
  </si>
  <si>
    <t>Verdosa / rojiza (inconspicua)</t>
  </si>
  <si>
    <t>otoño–invierno</t>
  </si>
  <si>
    <t>MED</t>
  </si>
  <si>
    <t>1,42</t>
  </si>
  <si>
    <t>INTERIOR</t>
  </si>
  <si>
    <t>Columna vertebral del sotobosque mediterráneo; muy resiliente al secano</t>
  </si>
  <si>
    <t>MI02</t>
  </si>
  <si>
    <t>Mirto / arrayán</t>
  </si>
  <si>
    <t>Myrtus communis</t>
  </si>
  <si>
    <t>IV–VIII</t>
  </si>
  <si>
    <t>Blanco (5 pétalos, estambres numerosos)</t>
  </si>
  <si>
    <t>1,47</t>
  </si>
  <si>
    <t>Aporta flor y fruto; refuerza diversidad trófica del sotobosque</t>
  </si>
  <si>
    <t>MI03</t>
  </si>
  <si>
    <t>Labiérnago</t>
  </si>
  <si>
    <t>Phillyrea angustifolia</t>
  </si>
  <si>
    <t>III–V</t>
  </si>
  <si>
    <t>Blanco / crema (pequeña)</t>
  </si>
  <si>
    <t>otoño</t>
  </si>
  <si>
    <t>1,37</t>
  </si>
  <si>
    <t>Muy robusta para ciudad y secano; cierra huecos rápido en densidad Miyawaki</t>
  </si>
  <si>
    <t>MI04</t>
  </si>
  <si>
    <t>Jara pringosa</t>
  </si>
  <si>
    <t>Cistus ladanifer</t>
  </si>
  <si>
    <t>Blanco con mancha rojo-púrpura basal</t>
  </si>
  <si>
    <t>1,17</t>
  </si>
  <si>
    <t>Matorral de secano extremo; protege suelo y acelera microclima en fase de establecimiento</t>
  </si>
  <si>
    <t>MI05</t>
  </si>
  <si>
    <t>Durillo</t>
  </si>
  <si>
    <t>Viburnum tinus</t>
  </si>
  <si>
    <t>I–V</t>
  </si>
  <si>
    <t>Blanco / rosado (corimbo)</t>
  </si>
  <si>
    <t>verano–otoño</t>
  </si>
  <si>
    <t>1,52</t>
  </si>
  <si>
    <t>Clave para el hueco invernal: floración en invierno y fruto para aves</t>
  </si>
  <si>
    <t>MI06</t>
  </si>
  <si>
    <t>Jazmín amarillo silvestre</t>
  </si>
  <si>
    <t>Jasminum fruticans</t>
  </si>
  <si>
    <t>Amarillo vivo</t>
  </si>
  <si>
    <t>Aporta flor y estructura sin depender de riego constante</t>
  </si>
  <si>
    <t>MI07</t>
  </si>
  <si>
    <t>Guardalobo</t>
  </si>
  <si>
    <t>Osyris alba</t>
  </si>
  <si>
    <t>VA</t>
  </si>
  <si>
    <t>Amarillo verdoso (pequeña, inconspicua)</t>
  </si>
  <si>
    <t>1,07</t>
  </si>
  <si>
    <t>Diversidad funcional; usar en baja proporción (comportamiento hemiparásito)</t>
  </si>
  <si>
    <t>MI08</t>
  </si>
  <si>
    <t>Retama</t>
  </si>
  <si>
    <t>Retama monosperma</t>
  </si>
  <si>
    <t>II–IV</t>
  </si>
  <si>
    <t>Blanco / blanco rosado</t>
  </si>
  <si>
    <t>Fija nitrógeno (Fabaceae); estructura rápida; controlar ubicación respecto a zonas de paso</t>
  </si>
  <si>
    <t>MI09</t>
  </si>
  <si>
    <t>Taraje (T. africana)</t>
  </si>
  <si>
    <t>Tamarix africana</t>
  </si>
  <si>
    <t>Rosa pálido / blanco rosado</t>
  </si>
  <si>
    <t>Condicional: útil con suelos profundos o escorrentía; no recomendado en secano extremo</t>
  </si>
  <si>
    <t>MI10</t>
  </si>
  <si>
    <t>Taraje (T. canariensis)</t>
  </si>
  <si>
    <t>Tamarix canariensis</t>
  </si>
  <si>
    <t>IV–XI</t>
  </si>
  <si>
    <t>Rosa / rosa intenso</t>
  </si>
  <si>
    <t>Condicional; ventana larga de floración; requiere algo de humedad edáfica</t>
  </si>
  <si>
    <t>MI11</t>
  </si>
  <si>
    <t>Palmito</t>
  </si>
  <si>
    <t>Chamaerops humilis</t>
  </si>
  <si>
    <t>Sí</t>
  </si>
  <si>
    <t>Amarillo / crema (espádice)</t>
  </si>
  <si>
    <t>1,68</t>
  </si>
  <si>
    <t>Única palmera autóctona ibérica; extremadamente resistente a sequía</t>
  </si>
  <si>
    <t>ME01</t>
  </si>
  <si>
    <t>Olivo / acebuche</t>
  </si>
  <si>
    <t>Olea europaea</t>
  </si>
  <si>
    <t>ME</t>
  </si>
  <si>
    <t>Mesofanerófitas 3–8 m</t>
  </si>
  <si>
    <t>Blanca / crema (pequeña, en racimos)</t>
  </si>
  <si>
    <t>1,62</t>
  </si>
  <si>
    <t>Icono mediterráneo de secano; estructura permanente y alta resiliencia al calor</t>
  </si>
  <si>
    <t>ME02</t>
  </si>
  <si>
    <t>Granado</t>
  </si>
  <si>
    <t>Punica granatum</t>
  </si>
  <si>
    <t>Rojo / naranja intenso (tubular)</t>
  </si>
  <si>
    <t>1,49</t>
  </si>
  <si>
    <t>Diversidad fenológica y recurso alimentario para fauna; bien adaptado a climas cálidos</t>
  </si>
  <si>
    <t>ME03</t>
  </si>
  <si>
    <t>Laurel</t>
  </si>
  <si>
    <t>Laurus nobilis</t>
  </si>
  <si>
    <t>Amarillo verdoso / crema (pequeña)</t>
  </si>
  <si>
    <t>1,64</t>
  </si>
  <si>
    <t>Condicional: útil en zonas algo frescas o sombreadas del interior del microbosque</t>
  </si>
  <si>
    <t>ME04</t>
  </si>
  <si>
    <t>Taraje árbol (T. gallica)</t>
  </si>
  <si>
    <t>Tamarix gallica</t>
  </si>
  <si>
    <t>primavera</t>
  </si>
  <si>
    <t>Condicional: recomendable si la parcela recibe escorrentía o tiene suelo profundo</t>
  </si>
  <si>
    <t>ME05</t>
  </si>
  <si>
    <t>Madroño</t>
  </si>
  <si>
    <t>Arbutus unedo</t>
  </si>
  <si>
    <t>IX–XI</t>
  </si>
  <si>
    <t>Blanco / crema (urceolada, colgante)</t>
  </si>
  <si>
    <t>1,69</t>
  </si>
  <si>
    <t>Floración otoñal simultánea con fruto rojo; alto valor ecológico y estético</t>
  </si>
  <si>
    <t>ME06</t>
  </si>
  <si>
    <t>Algarrobo</t>
  </si>
  <si>
    <t>Ceratonia siliqua</t>
  </si>
  <si>
    <t>IX–II</t>
  </si>
  <si>
    <t>Roja / verdosa oscura (pequeña, en racimo)</t>
  </si>
  <si>
    <t>Muy resistente al secano y al calor; aporta biomasa y recurso trófico para fauna</t>
  </si>
  <si>
    <t>ME07</t>
  </si>
  <si>
    <t>Piruétano</t>
  </si>
  <si>
    <t>Pyrus bourgaeana</t>
  </si>
  <si>
    <t>Blanca (5 pétalos, rosácea)</t>
  </si>
  <si>
    <t>1,54</t>
  </si>
  <si>
    <t>Alto valor faunístico; pequeño árbol mediterráneo útil para bosque comestible para aves</t>
  </si>
  <si>
    <t>ME08</t>
  </si>
  <si>
    <t>Almendro</t>
  </si>
  <si>
    <t>Prunus dulcis</t>
  </si>
  <si>
    <t>II–III</t>
  </si>
  <si>
    <t>Blanca / rosa pálido (antes de hoja)</t>
  </si>
  <si>
    <t>1,29</t>
  </si>
  <si>
    <t>Muy adaptado al secano cordobés; floración temprana estratégica para polinizadores</t>
  </si>
  <si>
    <t>MG01</t>
  </si>
  <si>
    <t>Encina / carrasca</t>
  </si>
  <si>
    <t>Quercus ilex subsp. ballota</t>
  </si>
  <si>
    <t>MG</t>
  </si>
  <si>
    <t>Megafanerófitas &gt;8 m</t>
  </si>
  <si>
    <t>Amarillo verdoso / inconspicua (amentos)</t>
  </si>
  <si>
    <t>PRE</t>
  </si>
  <si>
    <t>1,44</t>
  </si>
  <si>
    <t>Especie dosel top para secano; máxima resiliencia al estrés hídrico mediterráneo</t>
  </si>
  <si>
    <t>MG02</t>
  </si>
  <si>
    <t>Quejigo</t>
  </si>
  <si>
    <t>Quercus faginea</t>
  </si>
  <si>
    <t>Complementa a la encina con caducifolia; mejora confort estival y diversidad estructural</t>
  </si>
  <si>
    <t>MG03</t>
  </si>
  <si>
    <t>Alcornoque</t>
  </si>
  <si>
    <t>Quercus suber</t>
  </si>
  <si>
    <t>Valioso si el emplazamiento no es secano extremo; requiere suelo algo profundo</t>
  </si>
  <si>
    <t>MG04</t>
  </si>
  <si>
    <t>Pino piñonero</t>
  </si>
  <si>
    <t>Pinus pinea</t>
  </si>
  <si>
    <t>Amarillo / naranja (conos masculinos)</t>
  </si>
  <si>
    <t>lenta (piñas)</t>
  </si>
  <si>
    <t>Tolera calor y suelos pobres; aporta estructura rápida y refugio para aves</t>
  </si>
  <si>
    <t>MG05</t>
  </si>
  <si>
    <t>Pino carrasco</t>
  </si>
  <si>
    <t>Pinus halepensis</t>
  </si>
  <si>
    <t>Amarillo (conos masculinos)</t>
  </si>
  <si>
    <t>1,09</t>
  </si>
  <si>
    <t>Rústico y muy resistente; cierra dosel temprano (requiere manejo sanitario frente a procesionaria)</t>
  </si>
  <si>
    <t>MG06</t>
  </si>
  <si>
    <t>Almez</t>
  </si>
  <si>
    <t>Celtis australis</t>
  </si>
  <si>
    <t>Verde amarillenta / inconspicua</t>
  </si>
  <si>
    <t>Excelente árbol urbano mediterráneo; tolera estrés y aporta fruto para avifauna</t>
  </si>
  <si>
    <t>MG07</t>
  </si>
  <si>
    <t>Olmo común</t>
  </si>
  <si>
    <t>Ulmus minor</t>
  </si>
  <si>
    <t>Rojiza / purpúrea (pequeña, antes de hoja)</t>
  </si>
  <si>
    <t>Dosel caducifolio; recomendable con material vegetal tolerante a grafiosis</t>
  </si>
  <si>
    <t>MG08</t>
  </si>
  <si>
    <t>Fresno</t>
  </si>
  <si>
    <t>Fraxinus angustifolia</t>
  </si>
  <si>
    <t>XII–I</t>
  </si>
  <si>
    <t>Sin pétalos / inconspicua</t>
  </si>
  <si>
    <t>Solo recomendable con suelos profundos o aporte hídrico no artificial (escorrentía)</t>
  </si>
  <si>
    <t>MG09</t>
  </si>
  <si>
    <t>Arce de Montpellier</t>
  </si>
  <si>
    <t>Acer monspessulanum</t>
  </si>
  <si>
    <t>Amarillo verdoso / pequeña (corimbo)</t>
  </si>
  <si>
    <t>Caducifolio mediterráneo; útil para diversidad estructural y confort térmico estival</t>
  </si>
  <si>
    <t>MG10</t>
  </si>
  <si>
    <t>Álamo blanco</t>
  </si>
  <si>
    <t>Populus alba</t>
  </si>
  <si>
    <t>Inconspicua (amentos)</t>
  </si>
  <si>
    <t>1,39</t>
  </si>
  <si>
    <t>Solo si hay condiciones hidráulicas reales; no recomendado en secano puro</t>
  </si>
  <si>
    <t>MG11</t>
  </si>
  <si>
    <t>Chopo negro</t>
  </si>
  <si>
    <t>Populus nigra</t>
  </si>
  <si>
    <t>IV</t>
  </si>
  <si>
    <t>Inconspicua (amentos rojizos)</t>
  </si>
  <si>
    <t>Útil para biodiversidad riparia; solo con humedad edáfica garantizada</t>
  </si>
  <si>
    <t>LEYENDA DE CÓDIGOS — CATÁLOGO MICROBOSQUE MIYAWAKI · CÓRDOBA</t>
  </si>
  <si>
    <t>ESTRATO (cod_estrato)</t>
  </si>
  <si>
    <t>HOJA (cod_hoja)</t>
  </si>
  <si>
    <t>Perenne / Siempreverde</t>
  </si>
  <si>
    <t>Caducifolio</t>
  </si>
  <si>
    <t>Variable según condiciones</t>
  </si>
  <si>
    <t>DEMANDA DE AGUA (cod_agua)  [condiciones mediterráneas, sin riego]</t>
  </si>
  <si>
    <t>Muy bajo — sobrevive con precipitación mediterránea; sin riego estival</t>
  </si>
  <si>
    <t>Bajo — tolera sequía; puede necesitar riego de apoyo el primer año</t>
  </si>
  <si>
    <t>Medio — requiere suelo profundo o escorrentía ocasional</t>
  </si>
  <si>
    <t>Alto — solo viable con aporte hídrico no artificial; descartada en secano puro</t>
  </si>
  <si>
    <t>TOLERANCIA A SUELO URBANO COMPACTADO (cod_suelo)</t>
  </si>
  <si>
    <t>Alta — tolera suelos compactados y pobres; mínima preparación</t>
  </si>
  <si>
    <t>Media — requiere enmienda orgánica y descompactación básica</t>
  </si>
  <si>
    <t>Baja — necesita preparación profunda y sustrato de calidad</t>
  </si>
  <si>
    <t>VALOR PARA LA FAUNA (cod_fauna)</t>
  </si>
  <si>
    <t>Muy alto — recurso clave: alimento y refugio para varias especies</t>
  </si>
  <si>
    <t>Alto — alimento o refugio relevante</t>
  </si>
  <si>
    <t>Medio — aporte moderado</t>
  </si>
  <si>
    <t>Bajo — valor faunístico limitado</t>
  </si>
  <si>
    <t>CATEGORÍA DE PRECIO (cod_precio)  [planta forestal, vivero andaluz 2023-24]</t>
  </si>
  <si>
    <t>Económica · 0,80–1,50 €/ud · Formato forestal (contenedor pequeño)</t>
  </si>
  <si>
    <t>Media     · 1,50–3,50 €/ud · Formato forestal / contenedor estándar</t>
  </si>
  <si>
    <t>Premium   · 3,50–6,00 €/ud · Contenedor grande o especie de crecimiento lento</t>
  </si>
  <si>
    <t>POSICIÓN PREFERENTE EN EL MICROBOSQUE</t>
  </si>
  <si>
    <t>Anillo exterior · Primeros y últimos 1–1,5 m del perímetro</t>
  </si>
  <si>
    <t>Zona de transición entre borde e interior</t>
  </si>
  <si>
    <t>Núcleo central · Zona protegida del microbosque</t>
  </si>
  <si>
    <t>Fuente precios (embase forestal / alveolo): (1) Soydecampo.com / Viveros Zuaime (Murcia) — www.soydecampo.com; (2) Controlbio.es (Valencia) — www.controlbio.es/planta-en-bandeja-forestal; (3) Plantamus.com (Galicia) — www.plantamus.com. Precio indicado: media aritmética de los tres viveros, formato alveolo forestal (1–2 savias). Consultados: abril 2025. Precios orientativos; pueden variar según temporada y volumen.</t>
  </si>
  <si>
    <t>ÍNDICE DE REFERENCIA PARA PYTHON — Entrada de datos sin errores tipográficos</t>
  </si>
  <si>
    <t>POSICIÓN</t>
  </si>
  <si>
    <t>PRECIO ref.
(€/ud)</t>
  </si>
  <si>
    <t>⚙  USO EN PYTHON: Introducir CÓD. ESPECIE (ej. 'CA01') o NOMBRE COMÚN tal como figura en esta tabla. Python valida contra esta lista y rechaza entradas no reconocidas. El sistema normaliza mayúsculas/minúsculas y tildes automáticamente.</t>
  </si>
  <si>
    <t>nombre</t>
  </si>
  <si>
    <t>sta barbara</t>
  </si>
  <si>
    <t>sierra norte</t>
  </si>
  <si>
    <t>control bio</t>
  </si>
  <si>
    <t>Plan-flor</t>
  </si>
  <si>
    <t>Plantasxerofitas.com</t>
  </si>
  <si>
    <t>The original garden</t>
  </si>
  <si>
    <t>Tomillo blanco</t>
  </si>
  <si>
    <t>plan-flor</t>
  </si>
  <si>
    <t xml:space="preserve">https://viverosierranorte.es/wp-content/uploads/2025/10/CATALOGO-plantas-2025-2026-PVP.pdf </t>
  </si>
  <si>
    <t xml:space="preserve">https://www.viverosantabarbara.es/catalogo-precios.pdf </t>
  </si>
  <si>
    <t>https://controlbio.es</t>
  </si>
  <si>
    <t>https://plantamus.com</t>
  </si>
  <si>
    <t>Plantamus</t>
  </si>
  <si>
    <t>https://www.planfor.es</t>
  </si>
  <si>
    <t>https://www.plantasxerofitas.com</t>
  </si>
  <si>
    <t>https://theoriginalgarden.com</t>
  </si>
  <si>
    <t>Nina seeds</t>
  </si>
  <si>
    <t>https://ninaseeds.com</t>
  </si>
  <si>
    <t>https://oreshka-seeds.com</t>
  </si>
  <si>
    <t>Oreshka seeds</t>
  </si>
  <si>
    <t>€</t>
  </si>
  <si>
    <t>Fuente: Flora ibérica (Castroviejo et al., CSIC); Anthos — Lista patrón flora vascular española (CSIC-RCJB); Flora vascular del T.M. de Córdoba (Pinto Gomes et al.); Plantas para jardinería mediterránea (Junta de Andalucía); Blamey &amp; Grey-Wilson (1989); Polunin (1977).  — consultados abril 2025. Todas las especies son autóctonas de la flora vascular ibérica.</t>
  </si>
  <si>
    <t>0,55 — 0,75 €</t>
  </si>
  <si>
    <t>0,76 — 1,50 €</t>
  </si>
  <si>
    <t>&gt; 1,50 €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</si>
</sst>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sz val="9"/>
      <color rgb="FF111111"/>
      <name val="Arial"/>
    </font>
    <font>
      <sz val="9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i/>
      <sz val="8"/>
      <color rgb="FF444444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i/>
      <sz val="8"/>
      <color rgb="FF333333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Aptos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1E3A0E"/>
      </patternFill>
    </fill>
    <fill>
      <patternFill patternType="solid">
        <fgColor rgb="FFF9F9F9"/>
      </patternFill>
    </fill>
    <fill>
      <patternFill patternType="solid">
        <fgColor rgb="FF4E8E3A"/>
      </patternFill>
    </fill>
    <fill>
      <patternFill patternType="solid">
        <fgColor rgb="FFD6EAD0"/>
      </patternFill>
    </fill>
    <fill>
      <patternFill patternType="solid">
        <fgColor rgb="FFF5F5DC"/>
      </patternFill>
    </fill>
    <fill>
      <patternFill patternType="solid">
        <fgColor rgb="FFFFC0CB"/>
      </patternFill>
    </fill>
    <fill>
      <patternFill patternType="solid">
        <fgColor rgb="FFDA70D6"/>
      </patternFill>
    </fill>
    <fill>
      <patternFill patternType="solid">
        <fgColor rgb="FF9370DB"/>
      </patternFill>
    </fill>
    <fill>
      <patternFill patternType="solid">
        <fgColor rgb="FF7B2D8B"/>
      </patternFill>
    </fill>
    <fill>
      <patternFill patternType="solid">
        <fgColor rgb="FFC71585"/>
      </patternFill>
    </fill>
    <fill>
      <patternFill patternType="solid">
        <fgColor rgb="FFFFD700"/>
      </patternFill>
    </fill>
    <fill>
      <patternFill patternType="solid">
        <fgColor rgb="FFFFB6C1"/>
      </patternFill>
    </fill>
    <fill>
      <patternFill patternType="solid">
        <fgColor rgb="FFFFFACD"/>
      </patternFill>
    </fill>
    <fill>
      <patternFill patternType="solid">
        <fgColor rgb="FFB7D7A8"/>
      </patternFill>
    </fill>
    <fill>
      <patternFill patternType="solid">
        <fgColor rgb="FF8FBC8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DC143C"/>
      </patternFill>
    </fill>
    <fill>
      <patternFill patternType="solid">
        <fgColor rgb="FFFFB7C5"/>
      </patternFill>
    </fill>
    <fill>
      <patternFill patternType="solid">
        <fgColor rgb="FFFFFF00"/>
      </patternFill>
    </fill>
    <fill>
      <patternFill patternType="solid">
        <fgColor rgb="FF9ACD32"/>
      </patternFill>
    </fill>
    <fill>
      <patternFill patternType="solid">
        <fgColor rgb="FFFFF0F5"/>
      </patternFill>
    </fill>
    <fill>
      <patternFill patternType="solid">
        <fgColor rgb="FFFADADD"/>
      </patternFill>
    </fill>
    <fill>
      <patternFill patternType="solid">
        <fgColor rgb="FFFF69B4"/>
      </patternFill>
    </fill>
    <fill>
      <patternFill patternType="solid">
        <fgColor rgb="FF7DB77B"/>
      </patternFill>
    </fill>
    <fill>
      <patternFill patternType="solid">
        <fgColor rgb="FFFFFAF0"/>
      </patternFill>
    </fill>
    <fill>
      <patternFill patternType="solid">
        <fgColor rgb="FFFF4500"/>
      </patternFill>
    </fill>
    <fill>
      <patternFill patternType="solid">
        <fgColor rgb="FFF5DEB3"/>
      </patternFill>
    </fill>
    <fill>
      <patternFill patternType="solid">
        <fgColor rgb="FFFAEBD7"/>
      </patternFill>
    </fill>
    <fill>
      <patternFill patternType="solid">
        <fgColor rgb="FF8B0000"/>
      </patternFill>
    </fill>
    <fill>
      <patternFill patternType="solid">
        <fgColor rgb="FFFFE4E1"/>
      </patternFill>
    </fill>
    <fill>
      <patternFill patternType="solid">
        <fgColor rgb="FF3A6B27"/>
      </patternFill>
    </fill>
    <fill>
      <patternFill patternType="solid">
        <fgColor rgb="FFADFF2F"/>
      </patternFill>
    </fill>
    <fill>
      <patternFill patternType="solid">
        <fgColor rgb="FFCD5C5C"/>
      </patternFill>
    </fill>
    <fill>
      <patternFill patternType="solid">
        <fgColor rgb="FFD3D3D3"/>
      </patternFill>
    </fill>
    <fill>
      <patternFill patternType="solid">
        <fgColor rgb="FFF2F7EE"/>
      </patternFill>
    </fill>
    <fill>
      <patternFill patternType="solid">
        <fgColor rgb="FFFFF2CC"/>
      </patternFill>
    </fill>
    <fill>
      <patternFill patternType="solid">
        <fgColor rgb="FFA8D08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left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left" vertical="center" wrapText="1"/>
    </xf>
    <xf numFmtId="0" fontId="11" fillId="39" borderId="1" xfId="0" applyFont="1" applyFill="1" applyBorder="1" applyAlignment="1">
      <alignment horizontal="center" vertical="center" wrapText="1"/>
    </xf>
    <xf numFmtId="0" fontId="0" fillId="40" borderId="4" xfId="0" applyFill="1" applyBorder="1"/>
    <xf numFmtId="0" fontId="5" fillId="41" borderId="0" xfId="0" applyFont="1" applyFill="1" applyAlignment="1">
      <alignment horizontal="left" vertical="center" wrapText="1"/>
    </xf>
    <xf numFmtId="0" fontId="14" fillId="41" borderId="0" xfId="0" applyFont="1" applyFill="1"/>
    <xf numFmtId="0" fontId="14" fillId="41" borderId="0" xfId="0" applyFont="1" applyFill="1" applyAlignment="1">
      <alignment horizontal="left" vertical="center" wrapText="1"/>
    </xf>
    <xf numFmtId="0" fontId="14" fillId="42" borderId="0" xfId="0" applyFont="1" applyFill="1"/>
    <xf numFmtId="0" fontId="14" fillId="42" borderId="0" xfId="0" applyFont="1" applyFill="1" applyAlignment="1">
      <alignment horizontal="left" vertical="center" wrapText="1"/>
    </xf>
    <xf numFmtId="0" fontId="15" fillId="0" borderId="0" xfId="1"/>
    <xf numFmtId="0" fontId="1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8" borderId="1" xfId="0" applyFont="1" applyFill="1" applyBorder="1" applyAlignment="1">
      <alignment horizontal="left" vertical="center" wrapText="1"/>
    </xf>
    <xf numFmtId="0" fontId="12" fillId="3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4" fillId="15" borderId="1" xfId="0" applyNumberFormat="1" applyFont="1" applyFill="1" applyBorder="1" applyAlignment="1">
      <alignment horizontal="center" vertical="center" wrapText="1"/>
    </xf>
    <xf numFmtId="2" fontId="4" fillId="26" borderId="1" xfId="0" applyNumberFormat="1" applyFont="1" applyFill="1" applyBorder="1" applyAlignment="1">
      <alignment horizontal="center" vertical="center" wrapText="1"/>
    </xf>
    <xf numFmtId="2" fontId="5" fillId="33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0" borderId="4" xfId="0" applyBorder="1"/>
    <xf numFmtId="0" fontId="13" fillId="0" borderId="4" xfId="0" applyFont="1" applyBorder="1" applyAlignment="1">
      <alignment horizontal="center"/>
    </xf>
    <xf numFmtId="2" fontId="13" fillId="0" borderId="4" xfId="0" applyNumberFormat="1" applyFont="1" applyBorder="1" applyAlignment="1">
      <alignment horizontal="center"/>
    </xf>
    <xf numFmtId="0" fontId="4" fillId="40" borderId="4" xfId="0" applyFont="1" applyFill="1" applyBorder="1" applyAlignment="1">
      <alignment horizontal="left" vertical="center" wrapText="1"/>
    </xf>
    <xf numFmtId="0" fontId="4" fillId="43" borderId="4" xfId="0" applyFont="1" applyFill="1" applyBorder="1" applyAlignment="1">
      <alignment horizontal="left" vertical="center" wrapText="1"/>
    </xf>
    <xf numFmtId="0" fontId="4" fillId="44" borderId="4" xfId="0" applyFont="1" applyFill="1" applyBorder="1" applyAlignment="1">
      <alignment horizontal="left" vertical="center" wrapText="1"/>
    </xf>
    <xf numFmtId="0" fontId="5" fillId="45" borderId="4" xfId="0" applyFont="1" applyFill="1" applyBorder="1" applyAlignment="1">
      <alignment horizontal="left" vertical="center" wrapText="1"/>
    </xf>
    <xf numFmtId="0" fontId="16" fillId="45" borderId="5" xfId="0" applyFont="1" applyFill="1" applyBorder="1" applyAlignment="1">
      <alignment horizontal="center" vertical="center" wrapText="1"/>
    </xf>
    <xf numFmtId="0" fontId="16" fillId="45" borderId="6" xfId="0" applyFont="1" applyFill="1" applyBorder="1" applyAlignment="1">
      <alignment horizontal="center" vertical="center" wrapText="1"/>
    </xf>
    <xf numFmtId="0" fontId="16" fillId="45" borderId="4" xfId="0" applyFont="1" applyFill="1" applyBorder="1" applyAlignment="1">
      <alignment horizontal="center" vertical="center" wrapText="1"/>
    </xf>
    <xf numFmtId="0" fontId="17" fillId="45" borderId="4" xfId="0" applyFont="1" applyFill="1" applyBorder="1" applyAlignment="1">
      <alignment horizontal="center" vertical="center" wrapText="1"/>
    </xf>
    <xf numFmtId="0" fontId="0" fillId="46" borderId="4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C2E8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inaseeds.com/" TargetMode="External"/><Relationship Id="rId3" Type="http://schemas.openxmlformats.org/officeDocument/2006/relationships/hyperlink" Target="https://controlbio.es/" TargetMode="External"/><Relationship Id="rId7" Type="http://schemas.openxmlformats.org/officeDocument/2006/relationships/hyperlink" Target="https://theoriginalgarden.com/" TargetMode="External"/><Relationship Id="rId2" Type="http://schemas.openxmlformats.org/officeDocument/2006/relationships/hyperlink" Target="https://www.viverosantabarbara.es/catalogo-precios.pdf" TargetMode="External"/><Relationship Id="rId1" Type="http://schemas.openxmlformats.org/officeDocument/2006/relationships/hyperlink" Target="https://viverosierranorte.es/wp-content/uploads/2025/10/CATALOGO-plantas-2025-2026-PVP.pdf" TargetMode="External"/><Relationship Id="rId6" Type="http://schemas.openxmlformats.org/officeDocument/2006/relationships/hyperlink" Target="https://www.plantasxerofitas.com/" TargetMode="External"/><Relationship Id="rId5" Type="http://schemas.openxmlformats.org/officeDocument/2006/relationships/hyperlink" Target="https://www.planfor.es/" TargetMode="External"/><Relationship Id="rId4" Type="http://schemas.openxmlformats.org/officeDocument/2006/relationships/hyperlink" Target="https://plantamus.com/" TargetMode="External"/><Relationship Id="rId9" Type="http://schemas.openxmlformats.org/officeDocument/2006/relationships/hyperlink" Target="https://oreshka-seed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workbookViewId="0">
      <pane ySplit="3" topLeftCell="A4" activePane="bottomLeft" state="frozen"/>
      <selection pane="bottomLeft" activeCell="N6" sqref="N6"/>
    </sheetView>
  </sheetViews>
  <sheetFormatPr baseColWidth="10" defaultColWidth="8.88671875" defaultRowHeight="14.4" x14ac:dyDescent="0.3"/>
  <cols>
    <col min="1" max="1" width="5.44140625" style="36" customWidth="1"/>
    <col min="2" max="2" width="19" style="36" customWidth="1"/>
    <col min="3" max="3" width="24" style="36" customWidth="1"/>
    <col min="4" max="4" width="5.44140625" style="36" customWidth="1"/>
    <col min="5" max="5" width="16" style="36" customWidth="1"/>
    <col min="6" max="7" width="6" style="36" customWidth="1"/>
    <col min="8" max="11" width="5.44140625" style="36" customWidth="1"/>
    <col min="12" max="13" width="7" style="36" customWidth="1"/>
    <col min="14" max="14" width="9" style="36" customWidth="1"/>
    <col min="15" max="15" width="18" style="36" customWidth="1"/>
    <col min="16" max="16" width="8" style="36" customWidth="1"/>
    <col min="17" max="17" width="12" style="36" customWidth="1"/>
    <col min="18" max="18" width="6" style="36" customWidth="1"/>
    <col min="19" max="19" width="9" style="36" customWidth="1"/>
    <col min="20" max="20" width="7" style="36" customWidth="1"/>
    <col min="21" max="21" width="13" style="36" customWidth="1"/>
    <col min="22" max="22" width="42" style="36" customWidth="1"/>
    <col min="23" max="16384" width="8.88671875" style="36"/>
  </cols>
  <sheetData>
    <row r="1" spans="1:22" ht="27.9" customHeight="1" x14ac:dyDescent="0.3">
      <c r="A1" s="2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2" ht="14.1" customHeight="1" x14ac:dyDescent="0.3">
      <c r="A2" s="21" t="s">
        <v>339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3" spans="1:22" ht="36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</row>
    <row r="4" spans="1:22" ht="36" customHeight="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>
        <v>0.4</v>
      </c>
      <c r="G4" s="3">
        <v>0.5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32</v>
      </c>
      <c r="N4" s="3" t="s">
        <v>33</v>
      </c>
      <c r="O4" s="3" t="s">
        <v>34</v>
      </c>
      <c r="P4" s="37"/>
      <c r="Q4" s="3" t="s">
        <v>35</v>
      </c>
      <c r="R4" s="3" t="str">
        <f>IF(S4&lt;=0.75,"ECO",IF(S4&lt;=1.5,"MED","PRE"))</f>
        <v>ECO</v>
      </c>
      <c r="S4" s="30">
        <v>0.56999999999999995</v>
      </c>
      <c r="T4" s="3">
        <v>3</v>
      </c>
      <c r="U4" s="3" t="s">
        <v>38</v>
      </c>
      <c r="V4" s="3" t="s">
        <v>39</v>
      </c>
    </row>
    <row r="5" spans="1:22" ht="36" customHeight="1" x14ac:dyDescent="0.3">
      <c r="A5" s="3" t="s">
        <v>40</v>
      </c>
      <c r="B5" s="3" t="s">
        <v>41</v>
      </c>
      <c r="C5" s="3" t="s">
        <v>42</v>
      </c>
      <c r="D5" s="3" t="s">
        <v>26</v>
      </c>
      <c r="E5" s="3" t="s">
        <v>27</v>
      </c>
      <c r="F5" s="3">
        <v>0.15</v>
      </c>
      <c r="G5" s="3">
        <v>0.3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32</v>
      </c>
      <c r="N5" s="3" t="s">
        <v>33</v>
      </c>
      <c r="O5" s="3" t="s">
        <v>43</v>
      </c>
      <c r="P5" s="38"/>
      <c r="Q5" s="3" t="s">
        <v>35</v>
      </c>
      <c r="R5" s="3" t="str">
        <f t="shared" ref="R5:R42" si="0">IF(S5&lt;=0.75,"ECO",IF(S5&lt;=1.5,"MED","PRE"))</f>
        <v>ECO</v>
      </c>
      <c r="S5" s="30">
        <v>0.56999999999999995</v>
      </c>
      <c r="T5" s="3">
        <v>3</v>
      </c>
      <c r="U5" s="3" t="s">
        <v>38</v>
      </c>
      <c r="V5" s="3" t="s">
        <v>45</v>
      </c>
    </row>
    <row r="6" spans="1:22" ht="36" customHeight="1" x14ac:dyDescent="0.3">
      <c r="A6" s="3" t="s">
        <v>46</v>
      </c>
      <c r="B6" s="3" t="s">
        <v>47</v>
      </c>
      <c r="C6" s="3" t="s">
        <v>48</v>
      </c>
      <c r="D6" s="3" t="s">
        <v>26</v>
      </c>
      <c r="E6" s="3" t="s">
        <v>27</v>
      </c>
      <c r="F6" s="3">
        <v>0.2</v>
      </c>
      <c r="G6" s="3">
        <v>0.5</v>
      </c>
      <c r="H6" s="3" t="s">
        <v>28</v>
      </c>
      <c r="I6" s="3" t="s">
        <v>29</v>
      </c>
      <c r="J6" s="3" t="s">
        <v>31</v>
      </c>
      <c r="K6" s="3" t="s">
        <v>49</v>
      </c>
      <c r="L6" s="3" t="s">
        <v>32</v>
      </c>
      <c r="M6" s="3" t="s">
        <v>32</v>
      </c>
      <c r="N6" s="3" t="s">
        <v>50</v>
      </c>
      <c r="O6" s="3" t="s">
        <v>51</v>
      </c>
      <c r="P6" s="39"/>
      <c r="Q6" s="3" t="s">
        <v>35</v>
      </c>
      <c r="R6" s="3" t="str">
        <f t="shared" si="0"/>
        <v>ECO</v>
      </c>
      <c r="S6" s="30">
        <v>0.56999999999999995</v>
      </c>
      <c r="T6" s="3">
        <v>3</v>
      </c>
      <c r="U6" s="3" t="s">
        <v>38</v>
      </c>
      <c r="V6" s="3" t="s">
        <v>52</v>
      </c>
    </row>
    <row r="7" spans="1:22" ht="36" customHeight="1" x14ac:dyDescent="0.3">
      <c r="A7" s="3" t="s">
        <v>53</v>
      </c>
      <c r="B7" s="3" t="s">
        <v>54</v>
      </c>
      <c r="C7" s="3" t="s">
        <v>55</v>
      </c>
      <c r="D7" s="3" t="s">
        <v>26</v>
      </c>
      <c r="E7" s="3" t="s">
        <v>27</v>
      </c>
      <c r="F7" s="3">
        <v>0.5</v>
      </c>
      <c r="G7" s="3">
        <v>1</v>
      </c>
      <c r="H7" s="3" t="s">
        <v>28</v>
      </c>
      <c r="I7" s="3" t="s">
        <v>29</v>
      </c>
      <c r="J7" s="3" t="s">
        <v>30</v>
      </c>
      <c r="K7" s="3" t="s">
        <v>49</v>
      </c>
      <c r="L7" s="3" t="s">
        <v>32</v>
      </c>
      <c r="M7" s="3" t="s">
        <v>32</v>
      </c>
      <c r="N7" s="3" t="s">
        <v>56</v>
      </c>
      <c r="O7" s="3" t="s">
        <v>57</v>
      </c>
      <c r="P7" s="40"/>
      <c r="Q7" s="3" t="s">
        <v>58</v>
      </c>
      <c r="R7" s="3" t="str">
        <f t="shared" si="0"/>
        <v>ECO</v>
      </c>
      <c r="S7" s="30">
        <v>0.57666666666666666</v>
      </c>
      <c r="T7" s="3">
        <v>3</v>
      </c>
      <c r="U7" s="3" t="s">
        <v>38</v>
      </c>
      <c r="V7" s="3" t="s">
        <v>60</v>
      </c>
    </row>
    <row r="8" spans="1:22" ht="36" customHeight="1" x14ac:dyDescent="0.3">
      <c r="A8" s="3" t="s">
        <v>61</v>
      </c>
      <c r="B8" s="3" t="s">
        <v>62</v>
      </c>
      <c r="C8" s="3" t="s">
        <v>63</v>
      </c>
      <c r="D8" s="3" t="s">
        <v>26</v>
      </c>
      <c r="E8" s="3" t="s">
        <v>27</v>
      </c>
      <c r="F8" s="3">
        <v>0.3</v>
      </c>
      <c r="G8" s="3">
        <v>1</v>
      </c>
      <c r="H8" s="3" t="s">
        <v>28</v>
      </c>
      <c r="I8" s="3" t="s">
        <v>29</v>
      </c>
      <c r="J8" s="3" t="s">
        <v>30</v>
      </c>
      <c r="K8" s="3" t="s">
        <v>49</v>
      </c>
      <c r="L8" s="3" t="s">
        <v>32</v>
      </c>
      <c r="M8" s="3" t="s">
        <v>32</v>
      </c>
      <c r="N8" s="3" t="s">
        <v>64</v>
      </c>
      <c r="O8" s="3" t="s">
        <v>65</v>
      </c>
      <c r="P8" s="41"/>
      <c r="Q8" s="3" t="s">
        <v>35</v>
      </c>
      <c r="R8" s="3" t="str">
        <f t="shared" si="0"/>
        <v>ECO</v>
      </c>
      <c r="S8" s="30">
        <v>0.56999999999999995</v>
      </c>
      <c r="T8" s="3">
        <v>3</v>
      </c>
      <c r="U8" s="3" t="s">
        <v>38</v>
      </c>
      <c r="V8" s="3" t="s">
        <v>67</v>
      </c>
    </row>
    <row r="9" spans="1:22" ht="36" customHeight="1" x14ac:dyDescent="0.3">
      <c r="A9" s="3" t="s">
        <v>68</v>
      </c>
      <c r="B9" s="3" t="s">
        <v>69</v>
      </c>
      <c r="C9" s="3" t="s">
        <v>70</v>
      </c>
      <c r="D9" s="3" t="s">
        <v>26</v>
      </c>
      <c r="E9" s="3" t="s">
        <v>27</v>
      </c>
      <c r="F9" s="3">
        <v>0.3</v>
      </c>
      <c r="G9" s="3">
        <v>0.6</v>
      </c>
      <c r="H9" s="3" t="s">
        <v>28</v>
      </c>
      <c r="I9" s="3" t="s">
        <v>29</v>
      </c>
      <c r="J9" s="3" t="s">
        <v>30</v>
      </c>
      <c r="K9" s="3" t="s">
        <v>49</v>
      </c>
      <c r="L9" s="3" t="s">
        <v>32</v>
      </c>
      <c r="M9" s="3" t="s">
        <v>32</v>
      </c>
      <c r="N9" s="3" t="s">
        <v>71</v>
      </c>
      <c r="O9" s="3" t="s">
        <v>72</v>
      </c>
      <c r="P9" s="42"/>
      <c r="Q9" s="3" t="s">
        <v>35</v>
      </c>
      <c r="R9" s="3" t="str">
        <f t="shared" si="0"/>
        <v>ECO</v>
      </c>
      <c r="S9" s="30">
        <v>0.56999999999999995</v>
      </c>
      <c r="T9" s="3">
        <v>3</v>
      </c>
      <c r="U9" s="3" t="s">
        <v>38</v>
      </c>
      <c r="V9" s="3" t="s">
        <v>73</v>
      </c>
    </row>
    <row r="10" spans="1:22" ht="36" customHeight="1" x14ac:dyDescent="0.3">
      <c r="A10" s="3" t="s">
        <v>74</v>
      </c>
      <c r="B10" s="3" t="s">
        <v>75</v>
      </c>
      <c r="C10" s="3" t="s">
        <v>76</v>
      </c>
      <c r="D10" s="3" t="s">
        <v>26</v>
      </c>
      <c r="E10" s="3" t="s">
        <v>27</v>
      </c>
      <c r="F10" s="3">
        <v>0.4</v>
      </c>
      <c r="G10" s="3">
        <v>0.5</v>
      </c>
      <c r="H10" s="3" t="s">
        <v>28</v>
      </c>
      <c r="I10" s="3" t="s">
        <v>29</v>
      </c>
      <c r="J10" s="3" t="s">
        <v>30</v>
      </c>
      <c r="K10" s="3" t="s">
        <v>31</v>
      </c>
      <c r="L10" s="3" t="s">
        <v>32</v>
      </c>
      <c r="M10" s="3" t="s">
        <v>32</v>
      </c>
      <c r="N10" s="3" t="s">
        <v>77</v>
      </c>
      <c r="O10" s="3" t="s">
        <v>78</v>
      </c>
      <c r="P10" s="43"/>
      <c r="Q10" s="3" t="s">
        <v>35</v>
      </c>
      <c r="R10" s="3" t="str">
        <f t="shared" si="0"/>
        <v>PRE</v>
      </c>
      <c r="S10" s="30">
        <v>2.4466666666666668</v>
      </c>
      <c r="T10" s="3">
        <v>3</v>
      </c>
      <c r="U10" s="3" t="s">
        <v>38</v>
      </c>
      <c r="V10" s="3" t="s">
        <v>79</v>
      </c>
    </row>
    <row r="11" spans="1:22" ht="36" customHeight="1" x14ac:dyDescent="0.3">
      <c r="A11" s="3" t="s">
        <v>80</v>
      </c>
      <c r="B11" s="3" t="s">
        <v>81</v>
      </c>
      <c r="C11" s="3" t="s">
        <v>82</v>
      </c>
      <c r="D11" s="3" t="s">
        <v>26</v>
      </c>
      <c r="E11" s="3" t="s">
        <v>27</v>
      </c>
      <c r="F11" s="3">
        <v>0.1</v>
      </c>
      <c r="G11" s="3">
        <v>0.6</v>
      </c>
      <c r="H11" s="3" t="s">
        <v>28</v>
      </c>
      <c r="I11" s="3" t="s">
        <v>29</v>
      </c>
      <c r="J11" s="3" t="s">
        <v>31</v>
      </c>
      <c r="K11" s="3" t="s">
        <v>31</v>
      </c>
      <c r="L11" s="3" t="s">
        <v>32</v>
      </c>
      <c r="M11" s="3" t="s">
        <v>32</v>
      </c>
      <c r="N11" s="3" t="s">
        <v>50</v>
      </c>
      <c r="O11" s="3" t="s">
        <v>83</v>
      </c>
      <c r="P11" s="44"/>
      <c r="Q11" s="3" t="s">
        <v>35</v>
      </c>
      <c r="R11" s="3" t="str">
        <f t="shared" si="0"/>
        <v>ECO</v>
      </c>
      <c r="S11" s="30">
        <v>0.63666666666666671</v>
      </c>
      <c r="T11" s="3">
        <v>3</v>
      </c>
      <c r="U11" s="3" t="s">
        <v>38</v>
      </c>
      <c r="V11" s="3" t="s">
        <v>84</v>
      </c>
    </row>
    <row r="12" spans="1:22" ht="36" customHeight="1" x14ac:dyDescent="0.3">
      <c r="A12" s="3" t="s">
        <v>85</v>
      </c>
      <c r="B12" s="3" t="s">
        <v>86</v>
      </c>
      <c r="C12" s="3" t="s">
        <v>87</v>
      </c>
      <c r="D12" s="3" t="s">
        <v>26</v>
      </c>
      <c r="E12" s="3" t="s">
        <v>27</v>
      </c>
      <c r="F12" s="3">
        <v>0.8</v>
      </c>
      <c r="G12" s="3">
        <v>1</v>
      </c>
      <c r="H12" s="3" t="s">
        <v>28</v>
      </c>
      <c r="I12" s="3" t="s">
        <v>88</v>
      </c>
      <c r="J12" s="3" t="s">
        <v>30</v>
      </c>
      <c r="K12" s="3" t="s">
        <v>30</v>
      </c>
      <c r="L12" s="3" t="s">
        <v>32</v>
      </c>
      <c r="M12" s="3" t="s">
        <v>32</v>
      </c>
      <c r="N12" s="3" t="s">
        <v>89</v>
      </c>
      <c r="O12" s="3" t="s">
        <v>90</v>
      </c>
      <c r="P12" s="45"/>
      <c r="Q12" s="3" t="s">
        <v>35</v>
      </c>
      <c r="R12" s="3" t="str">
        <f t="shared" si="0"/>
        <v>ECO</v>
      </c>
      <c r="S12" s="30">
        <v>0.68</v>
      </c>
      <c r="T12" s="3">
        <v>3</v>
      </c>
      <c r="U12" s="3" t="s">
        <v>92</v>
      </c>
      <c r="V12" s="3" t="s">
        <v>93</v>
      </c>
    </row>
    <row r="13" spans="1:22" ht="36" customHeight="1" x14ac:dyDescent="0.3">
      <c r="A13" s="5" t="s">
        <v>94</v>
      </c>
      <c r="B13" s="5" t="s">
        <v>95</v>
      </c>
      <c r="C13" s="5" t="s">
        <v>96</v>
      </c>
      <c r="D13" s="5" t="s">
        <v>97</v>
      </c>
      <c r="E13" s="5" t="s">
        <v>98</v>
      </c>
      <c r="F13" s="5">
        <v>1</v>
      </c>
      <c r="G13" s="5">
        <v>3</v>
      </c>
      <c r="H13" s="5" t="s">
        <v>28</v>
      </c>
      <c r="I13" s="5" t="s">
        <v>29</v>
      </c>
      <c r="J13" s="5" t="s">
        <v>31</v>
      </c>
      <c r="K13" s="5" t="s">
        <v>31</v>
      </c>
      <c r="L13" s="5" t="s">
        <v>32</v>
      </c>
      <c r="M13" s="5" t="s">
        <v>32</v>
      </c>
      <c r="N13" s="5" t="s">
        <v>99</v>
      </c>
      <c r="O13" s="5" t="s">
        <v>100</v>
      </c>
      <c r="P13" s="46"/>
      <c r="Q13" s="5" t="s">
        <v>101</v>
      </c>
      <c r="R13" s="5" t="str">
        <f>IF(S13&lt;=0.75,"ECO",IF(S13&lt;=1.5,"MED","PRE"))</f>
        <v>ECO</v>
      </c>
      <c r="S13" s="31">
        <v>0.71333333333333337</v>
      </c>
      <c r="T13" s="5">
        <v>2</v>
      </c>
      <c r="U13" s="5" t="s">
        <v>104</v>
      </c>
      <c r="V13" s="5" t="s">
        <v>105</v>
      </c>
    </row>
    <row r="14" spans="1:22" ht="36" customHeight="1" x14ac:dyDescent="0.3">
      <c r="A14" s="5" t="s">
        <v>106</v>
      </c>
      <c r="B14" s="5" t="s">
        <v>107</v>
      </c>
      <c r="C14" s="5" t="s">
        <v>108</v>
      </c>
      <c r="D14" s="5" t="s">
        <v>97</v>
      </c>
      <c r="E14" s="5" t="s">
        <v>98</v>
      </c>
      <c r="F14" s="5">
        <v>0.8</v>
      </c>
      <c r="G14" s="5">
        <v>2</v>
      </c>
      <c r="H14" s="5" t="s">
        <v>28</v>
      </c>
      <c r="I14" s="5" t="s">
        <v>88</v>
      </c>
      <c r="J14" s="5" t="s">
        <v>30</v>
      </c>
      <c r="K14" s="5" t="s">
        <v>31</v>
      </c>
      <c r="L14" s="5" t="s">
        <v>32</v>
      </c>
      <c r="M14" s="5" t="s">
        <v>32</v>
      </c>
      <c r="N14" s="5" t="s">
        <v>109</v>
      </c>
      <c r="O14" s="5" t="s">
        <v>110</v>
      </c>
      <c r="P14" s="47"/>
      <c r="Q14" s="5" t="s">
        <v>101</v>
      </c>
      <c r="R14" s="5" t="str">
        <f t="shared" ref="R14:R23" si="1">IF(S14&lt;=0.75,"ECO",IF(S14&lt;=1.5,"MED","PRE"))</f>
        <v>ECO</v>
      </c>
      <c r="S14" s="31">
        <v>0.63666666666666671</v>
      </c>
      <c r="T14" s="5">
        <v>2</v>
      </c>
      <c r="U14" s="5" t="s">
        <v>104</v>
      </c>
      <c r="V14" s="5" t="s">
        <v>112</v>
      </c>
    </row>
    <row r="15" spans="1:22" ht="36" customHeight="1" x14ac:dyDescent="0.3">
      <c r="A15" s="5" t="s">
        <v>113</v>
      </c>
      <c r="B15" s="5" t="s">
        <v>114</v>
      </c>
      <c r="C15" s="5" t="s">
        <v>115</v>
      </c>
      <c r="D15" s="5" t="s">
        <v>97</v>
      </c>
      <c r="E15" s="5" t="s">
        <v>98</v>
      </c>
      <c r="F15" s="5">
        <v>1</v>
      </c>
      <c r="G15" s="5">
        <v>3</v>
      </c>
      <c r="H15" s="5" t="s">
        <v>28</v>
      </c>
      <c r="I15" s="5" t="s">
        <v>29</v>
      </c>
      <c r="J15" s="5" t="s">
        <v>31</v>
      </c>
      <c r="K15" s="5" t="s">
        <v>30</v>
      </c>
      <c r="L15" s="5" t="s">
        <v>32</v>
      </c>
      <c r="M15" s="5" t="s">
        <v>32</v>
      </c>
      <c r="N15" s="5" t="s">
        <v>116</v>
      </c>
      <c r="O15" s="5" t="s">
        <v>117</v>
      </c>
      <c r="P15" s="48"/>
      <c r="Q15" s="5" t="s">
        <v>118</v>
      </c>
      <c r="R15" s="5" t="str">
        <f t="shared" si="1"/>
        <v>ECO</v>
      </c>
      <c r="S15" s="31">
        <v>0.7400000000000001</v>
      </c>
      <c r="T15" s="5">
        <v>2</v>
      </c>
      <c r="U15" s="5" t="s">
        <v>104</v>
      </c>
      <c r="V15" s="5" t="s">
        <v>120</v>
      </c>
    </row>
    <row r="16" spans="1:22" ht="36" customHeight="1" x14ac:dyDescent="0.3">
      <c r="A16" s="5" t="s">
        <v>121</v>
      </c>
      <c r="B16" s="5" t="s">
        <v>122</v>
      </c>
      <c r="C16" s="5" t="s">
        <v>123</v>
      </c>
      <c r="D16" s="5" t="s">
        <v>97</v>
      </c>
      <c r="E16" s="5" t="s">
        <v>98</v>
      </c>
      <c r="F16" s="5">
        <v>1.5</v>
      </c>
      <c r="G16" s="5">
        <v>3</v>
      </c>
      <c r="H16" s="5" t="s">
        <v>28</v>
      </c>
      <c r="I16" s="5" t="s">
        <v>29</v>
      </c>
      <c r="J16" s="5" t="s">
        <v>88</v>
      </c>
      <c r="K16" s="5" t="s">
        <v>30</v>
      </c>
      <c r="L16" s="5" t="s">
        <v>32</v>
      </c>
      <c r="M16" s="5" t="s">
        <v>32</v>
      </c>
      <c r="N16" s="5" t="s">
        <v>64</v>
      </c>
      <c r="O16" s="5" t="s">
        <v>124</v>
      </c>
      <c r="P16" s="49"/>
      <c r="Q16" s="5" t="s">
        <v>35</v>
      </c>
      <c r="R16" s="5" t="str">
        <f t="shared" si="1"/>
        <v>ECO</v>
      </c>
      <c r="S16" s="31">
        <v>0.64666666666666661</v>
      </c>
      <c r="T16" s="5">
        <v>2</v>
      </c>
      <c r="U16" s="5" t="s">
        <v>92</v>
      </c>
      <c r="V16" s="5" t="s">
        <v>126</v>
      </c>
    </row>
    <row r="17" spans="1:22" ht="36" customHeight="1" x14ac:dyDescent="0.3">
      <c r="A17" s="5" t="s">
        <v>127</v>
      </c>
      <c r="B17" s="5" t="s">
        <v>128</v>
      </c>
      <c r="C17" s="5" t="s">
        <v>129</v>
      </c>
      <c r="D17" s="5" t="s">
        <v>97</v>
      </c>
      <c r="E17" s="5" t="s">
        <v>98</v>
      </c>
      <c r="F17" s="5">
        <v>1</v>
      </c>
      <c r="G17" s="5">
        <v>3</v>
      </c>
      <c r="H17" s="5" t="s">
        <v>28</v>
      </c>
      <c r="I17" s="5" t="s">
        <v>88</v>
      </c>
      <c r="J17" s="5" t="s">
        <v>30</v>
      </c>
      <c r="K17" s="5" t="s">
        <v>49</v>
      </c>
      <c r="L17" s="5" t="s">
        <v>32</v>
      </c>
      <c r="M17" s="5" t="s">
        <v>32</v>
      </c>
      <c r="N17" s="5" t="s">
        <v>130</v>
      </c>
      <c r="O17" s="5" t="s">
        <v>131</v>
      </c>
      <c r="P17" s="50"/>
      <c r="Q17" s="5" t="s">
        <v>132</v>
      </c>
      <c r="R17" s="5" t="str">
        <f t="shared" si="1"/>
        <v>MED</v>
      </c>
      <c r="S17" s="31">
        <v>0.80999999999999994</v>
      </c>
      <c r="T17" s="5">
        <v>2</v>
      </c>
      <c r="U17" s="5" t="s">
        <v>104</v>
      </c>
      <c r="V17" s="5" t="s">
        <v>134</v>
      </c>
    </row>
    <row r="18" spans="1:22" ht="36" customHeight="1" x14ac:dyDescent="0.3">
      <c r="A18" s="5" t="s">
        <v>135</v>
      </c>
      <c r="B18" s="5" t="s">
        <v>136</v>
      </c>
      <c r="C18" s="5" t="s">
        <v>137</v>
      </c>
      <c r="D18" s="5" t="s">
        <v>97</v>
      </c>
      <c r="E18" s="5" t="s">
        <v>98</v>
      </c>
      <c r="F18" s="5">
        <v>1</v>
      </c>
      <c r="G18" s="5">
        <v>2.5</v>
      </c>
      <c r="H18" s="5" t="s">
        <v>28</v>
      </c>
      <c r="I18" s="5" t="s">
        <v>88</v>
      </c>
      <c r="J18" s="5" t="s">
        <v>30</v>
      </c>
      <c r="K18" s="5" t="s">
        <v>30</v>
      </c>
      <c r="L18" s="5" t="s">
        <v>32</v>
      </c>
      <c r="M18" s="5" t="s">
        <v>32</v>
      </c>
      <c r="N18" s="5" t="s">
        <v>64</v>
      </c>
      <c r="O18" s="5" t="s">
        <v>138</v>
      </c>
      <c r="P18" s="51"/>
      <c r="Q18" s="5" t="s">
        <v>132</v>
      </c>
      <c r="R18" s="5" t="str">
        <f t="shared" si="1"/>
        <v>PRE</v>
      </c>
      <c r="S18" s="31">
        <v>5.0333333333333341</v>
      </c>
      <c r="T18" s="5">
        <v>2</v>
      </c>
      <c r="U18" s="5" t="s">
        <v>104</v>
      </c>
      <c r="V18" s="5" t="s">
        <v>139</v>
      </c>
    </row>
    <row r="19" spans="1:22" ht="36" customHeight="1" x14ac:dyDescent="0.3">
      <c r="A19" s="5" t="s">
        <v>140</v>
      </c>
      <c r="B19" s="5" t="s">
        <v>141</v>
      </c>
      <c r="C19" s="5" t="s">
        <v>142</v>
      </c>
      <c r="D19" s="5" t="s">
        <v>97</v>
      </c>
      <c r="E19" s="5" t="s">
        <v>98</v>
      </c>
      <c r="F19" s="5">
        <v>0.5</v>
      </c>
      <c r="G19" s="5">
        <v>1.5</v>
      </c>
      <c r="H19" s="5" t="s">
        <v>143</v>
      </c>
      <c r="I19" s="5" t="s">
        <v>88</v>
      </c>
      <c r="J19" s="5" t="s">
        <v>30</v>
      </c>
      <c r="K19" s="5" t="s">
        <v>30</v>
      </c>
      <c r="L19" s="5" t="s">
        <v>32</v>
      </c>
      <c r="M19" s="5" t="s">
        <v>32</v>
      </c>
      <c r="N19" s="5" t="s">
        <v>64</v>
      </c>
      <c r="O19" s="5" t="s">
        <v>144</v>
      </c>
      <c r="P19" s="52"/>
      <c r="Q19" s="5" t="s">
        <v>132</v>
      </c>
      <c r="R19" s="5" t="str">
        <f t="shared" si="1"/>
        <v>PRE</v>
      </c>
      <c r="S19" s="31">
        <v>3.895</v>
      </c>
      <c r="T19" s="5">
        <v>2</v>
      </c>
      <c r="U19" s="5" t="s">
        <v>104</v>
      </c>
      <c r="V19" s="5" t="s">
        <v>146</v>
      </c>
    </row>
    <row r="20" spans="1:22" ht="36" customHeight="1" x14ac:dyDescent="0.3">
      <c r="A20" s="5" t="s">
        <v>147</v>
      </c>
      <c r="B20" s="5" t="s">
        <v>148</v>
      </c>
      <c r="C20" s="5" t="s">
        <v>149</v>
      </c>
      <c r="D20" s="5" t="s">
        <v>97</v>
      </c>
      <c r="E20" s="5" t="s">
        <v>98</v>
      </c>
      <c r="F20" s="5">
        <v>1.5</v>
      </c>
      <c r="G20" s="5">
        <v>3</v>
      </c>
      <c r="H20" s="5" t="s">
        <v>26</v>
      </c>
      <c r="I20" s="5" t="s">
        <v>29</v>
      </c>
      <c r="J20" s="5" t="s">
        <v>30</v>
      </c>
      <c r="K20" s="5" t="s">
        <v>30</v>
      </c>
      <c r="L20" s="5" t="s">
        <v>32</v>
      </c>
      <c r="M20" s="5" t="s">
        <v>32</v>
      </c>
      <c r="N20" s="5" t="s">
        <v>150</v>
      </c>
      <c r="O20" s="5" t="s">
        <v>151</v>
      </c>
      <c r="P20" s="53"/>
      <c r="Q20" s="5" t="s">
        <v>58</v>
      </c>
      <c r="R20" s="5" t="str">
        <f t="shared" si="1"/>
        <v>ECO</v>
      </c>
      <c r="S20" s="31">
        <v>0.62666666666666659</v>
      </c>
      <c r="T20" s="5">
        <v>2</v>
      </c>
      <c r="U20" s="5" t="s">
        <v>104</v>
      </c>
      <c r="V20" s="5" t="s">
        <v>152</v>
      </c>
    </row>
    <row r="21" spans="1:22" ht="36" customHeight="1" x14ac:dyDescent="0.3">
      <c r="A21" s="5" t="s">
        <v>153</v>
      </c>
      <c r="B21" s="5" t="s">
        <v>154</v>
      </c>
      <c r="C21" s="5" t="s">
        <v>155</v>
      </c>
      <c r="D21" s="5" t="s">
        <v>97</v>
      </c>
      <c r="E21" s="5" t="s">
        <v>98</v>
      </c>
      <c r="F21" s="5">
        <v>2</v>
      </c>
      <c r="G21" s="5">
        <v>4</v>
      </c>
      <c r="H21" s="5" t="s">
        <v>26</v>
      </c>
      <c r="I21" s="5" t="s">
        <v>29</v>
      </c>
      <c r="J21" s="5" t="s">
        <v>31</v>
      </c>
      <c r="K21" s="5" t="s">
        <v>30</v>
      </c>
      <c r="L21" s="5" t="s">
        <v>32</v>
      </c>
      <c r="M21" s="5" t="s">
        <v>32</v>
      </c>
      <c r="N21" s="5" t="s">
        <v>64</v>
      </c>
      <c r="O21" s="5" t="s">
        <v>156</v>
      </c>
      <c r="P21" s="54"/>
      <c r="Q21" s="5" t="s">
        <v>35</v>
      </c>
      <c r="R21" s="5" t="str">
        <f t="shared" si="1"/>
        <v>PRE</v>
      </c>
      <c r="S21" s="31">
        <v>2.3066666666666666</v>
      </c>
      <c r="T21" s="5">
        <v>2</v>
      </c>
      <c r="U21" s="5" t="s">
        <v>92</v>
      </c>
      <c r="V21" s="5" t="s">
        <v>157</v>
      </c>
    </row>
    <row r="22" spans="1:22" ht="36" customHeight="1" x14ac:dyDescent="0.3">
      <c r="A22" s="5" t="s">
        <v>158</v>
      </c>
      <c r="B22" s="5" t="s">
        <v>159</v>
      </c>
      <c r="C22" s="5" t="s">
        <v>160</v>
      </c>
      <c r="D22" s="5" t="s">
        <v>97</v>
      </c>
      <c r="E22" s="5" t="s">
        <v>98</v>
      </c>
      <c r="F22" s="5">
        <v>2</v>
      </c>
      <c r="G22" s="5">
        <v>4</v>
      </c>
      <c r="H22" s="5" t="s">
        <v>26</v>
      </c>
      <c r="I22" s="5" t="s">
        <v>29</v>
      </c>
      <c r="J22" s="5" t="s">
        <v>31</v>
      </c>
      <c r="K22" s="5" t="s">
        <v>30</v>
      </c>
      <c r="L22" s="5" t="s">
        <v>32</v>
      </c>
      <c r="M22" s="5" t="s">
        <v>32</v>
      </c>
      <c r="N22" s="5" t="s">
        <v>161</v>
      </c>
      <c r="O22" s="5" t="s">
        <v>162</v>
      </c>
      <c r="P22" s="55"/>
      <c r="Q22" s="5" t="s">
        <v>132</v>
      </c>
      <c r="R22" s="5" t="str">
        <f t="shared" si="1"/>
        <v>MED</v>
      </c>
      <c r="S22" s="31">
        <v>1.4733333333333334</v>
      </c>
      <c r="T22" s="5">
        <v>2</v>
      </c>
      <c r="U22" s="5" t="s">
        <v>92</v>
      </c>
      <c r="V22" s="5" t="s">
        <v>163</v>
      </c>
    </row>
    <row r="23" spans="1:22" ht="36" customHeight="1" x14ac:dyDescent="0.3">
      <c r="A23" s="5" t="s">
        <v>164</v>
      </c>
      <c r="B23" s="5" t="s">
        <v>165</v>
      </c>
      <c r="C23" s="5" t="s">
        <v>166</v>
      </c>
      <c r="D23" s="5" t="s">
        <v>97</v>
      </c>
      <c r="E23" s="5" t="s">
        <v>98</v>
      </c>
      <c r="F23" s="5">
        <v>2</v>
      </c>
      <c r="G23" s="5">
        <v>4</v>
      </c>
      <c r="H23" s="5" t="s">
        <v>28</v>
      </c>
      <c r="I23" s="5" t="s">
        <v>29</v>
      </c>
      <c r="J23" s="5" t="s">
        <v>31</v>
      </c>
      <c r="K23" s="5" t="s">
        <v>30</v>
      </c>
      <c r="L23" s="5" t="s">
        <v>167</v>
      </c>
      <c r="M23" s="5" t="s">
        <v>32</v>
      </c>
      <c r="N23" s="5" t="s">
        <v>116</v>
      </c>
      <c r="O23" s="5" t="s">
        <v>168</v>
      </c>
      <c r="P23" s="45"/>
      <c r="Q23" s="5" t="s">
        <v>118</v>
      </c>
      <c r="R23" s="5" t="str">
        <f t="shared" si="1"/>
        <v>PRE</v>
      </c>
      <c r="S23" s="31">
        <v>2.3533333333333335</v>
      </c>
      <c r="T23" s="5">
        <v>2</v>
      </c>
      <c r="U23" s="5" t="s">
        <v>104</v>
      </c>
      <c r="V23" s="5" t="s">
        <v>170</v>
      </c>
    </row>
    <row r="24" spans="1:22" ht="36" customHeight="1" x14ac:dyDescent="0.3">
      <c r="A24" s="7" t="s">
        <v>171</v>
      </c>
      <c r="B24" s="7" t="s">
        <v>172</v>
      </c>
      <c r="C24" s="7" t="s">
        <v>173</v>
      </c>
      <c r="D24" s="7" t="s">
        <v>174</v>
      </c>
      <c r="E24" s="7" t="s">
        <v>175</v>
      </c>
      <c r="F24" s="7">
        <v>4</v>
      </c>
      <c r="G24" s="7">
        <v>6</v>
      </c>
      <c r="H24" s="7" t="s">
        <v>28</v>
      </c>
      <c r="I24" s="7" t="s">
        <v>29</v>
      </c>
      <c r="J24" s="7" t="s">
        <v>31</v>
      </c>
      <c r="K24" s="7" t="s">
        <v>31</v>
      </c>
      <c r="L24" s="7" t="s">
        <v>32</v>
      </c>
      <c r="M24" s="7" t="s">
        <v>167</v>
      </c>
      <c r="N24" s="7" t="s">
        <v>33</v>
      </c>
      <c r="O24" s="7" t="s">
        <v>176</v>
      </c>
      <c r="P24" s="56"/>
      <c r="Q24" s="7" t="s">
        <v>101</v>
      </c>
      <c r="R24" s="7" t="str">
        <f>IF(S24&lt;=0.75,"ECO",IF(S24&lt;=1.5,"MED","PRE"))</f>
        <v>ECO</v>
      </c>
      <c r="S24" s="32">
        <v>0.59333333333333338</v>
      </c>
      <c r="T24" s="7">
        <v>2</v>
      </c>
      <c r="U24" s="7" t="s">
        <v>104</v>
      </c>
      <c r="V24" s="7" t="s">
        <v>178</v>
      </c>
    </row>
    <row r="25" spans="1:22" ht="36" customHeight="1" x14ac:dyDescent="0.3">
      <c r="A25" s="7" t="s">
        <v>179</v>
      </c>
      <c r="B25" s="7" t="s">
        <v>180</v>
      </c>
      <c r="C25" s="7" t="s">
        <v>181</v>
      </c>
      <c r="D25" s="7" t="s">
        <v>174</v>
      </c>
      <c r="E25" s="7" t="s">
        <v>175</v>
      </c>
      <c r="F25" s="7">
        <v>2</v>
      </c>
      <c r="G25" s="7">
        <v>4</v>
      </c>
      <c r="H25" s="7" t="s">
        <v>26</v>
      </c>
      <c r="I25" s="7" t="s">
        <v>88</v>
      </c>
      <c r="J25" s="7" t="s">
        <v>30</v>
      </c>
      <c r="K25" s="7" t="s">
        <v>31</v>
      </c>
      <c r="L25" s="7" t="s">
        <v>32</v>
      </c>
      <c r="M25" s="7" t="s">
        <v>32</v>
      </c>
      <c r="N25" s="7" t="s">
        <v>33</v>
      </c>
      <c r="O25" s="7" t="s">
        <v>182</v>
      </c>
      <c r="P25" s="57"/>
      <c r="Q25" s="7" t="s">
        <v>118</v>
      </c>
      <c r="R25" s="7" t="str">
        <f t="shared" ref="R25:R31" si="2">IF(S25&lt;=0.75,"ECO",IF(S25&lt;=1.5,"MED","PRE"))</f>
        <v>PRE</v>
      </c>
      <c r="S25" s="32">
        <v>2.5866666666666664</v>
      </c>
      <c r="T25" s="7">
        <v>2</v>
      </c>
      <c r="U25" s="7" t="s">
        <v>104</v>
      </c>
      <c r="V25" s="7" t="s">
        <v>184</v>
      </c>
    </row>
    <row r="26" spans="1:22" ht="36" customHeight="1" x14ac:dyDescent="0.3">
      <c r="A26" s="7" t="s">
        <v>185</v>
      </c>
      <c r="B26" s="7" t="s">
        <v>186</v>
      </c>
      <c r="C26" s="7" t="s">
        <v>187</v>
      </c>
      <c r="D26" s="7" t="s">
        <v>174</v>
      </c>
      <c r="E26" s="7" t="s">
        <v>175</v>
      </c>
      <c r="F26" s="7">
        <v>3</v>
      </c>
      <c r="G26" s="7">
        <v>8</v>
      </c>
      <c r="H26" s="7" t="s">
        <v>28</v>
      </c>
      <c r="I26" s="7" t="s">
        <v>29</v>
      </c>
      <c r="J26" s="7" t="s">
        <v>30</v>
      </c>
      <c r="K26" s="7" t="s">
        <v>30</v>
      </c>
      <c r="L26" s="7" t="s">
        <v>32</v>
      </c>
      <c r="M26" s="7" t="s">
        <v>32</v>
      </c>
      <c r="N26" s="7" t="s">
        <v>150</v>
      </c>
      <c r="O26" s="7" t="s">
        <v>188</v>
      </c>
      <c r="P26" s="58"/>
      <c r="Q26" s="7" t="s">
        <v>118</v>
      </c>
      <c r="R26" s="7" t="str">
        <f t="shared" si="2"/>
        <v>PRE</v>
      </c>
      <c r="S26" s="32">
        <v>1.9133333333333333</v>
      </c>
      <c r="T26" s="7">
        <v>2</v>
      </c>
      <c r="U26" s="7" t="s">
        <v>104</v>
      </c>
      <c r="V26" s="7" t="s">
        <v>190</v>
      </c>
    </row>
    <row r="27" spans="1:22" ht="36" customHeight="1" x14ac:dyDescent="0.3">
      <c r="A27" s="7" t="s">
        <v>191</v>
      </c>
      <c r="B27" s="7" t="s">
        <v>192</v>
      </c>
      <c r="C27" s="7" t="s">
        <v>193</v>
      </c>
      <c r="D27" s="7" t="s">
        <v>174</v>
      </c>
      <c r="E27" s="7" t="s">
        <v>175</v>
      </c>
      <c r="F27" s="7">
        <v>2</v>
      </c>
      <c r="G27" s="7">
        <v>8</v>
      </c>
      <c r="H27" s="7" t="s">
        <v>26</v>
      </c>
      <c r="I27" s="7" t="s">
        <v>29</v>
      </c>
      <c r="J27" s="7" t="s">
        <v>31</v>
      </c>
      <c r="K27" s="7" t="s">
        <v>30</v>
      </c>
      <c r="L27" s="7" t="s">
        <v>32</v>
      </c>
      <c r="M27" s="7" t="s">
        <v>32</v>
      </c>
      <c r="N27" s="7" t="s">
        <v>33</v>
      </c>
      <c r="O27" s="7" t="s">
        <v>156</v>
      </c>
      <c r="P27" s="54"/>
      <c r="Q27" s="7" t="s">
        <v>194</v>
      </c>
      <c r="R27" s="7" t="str">
        <f t="shared" si="2"/>
        <v>MED</v>
      </c>
      <c r="S27" s="32">
        <v>1.18</v>
      </c>
      <c r="T27" s="7">
        <v>2</v>
      </c>
      <c r="U27" s="7" t="s">
        <v>92</v>
      </c>
      <c r="V27" s="7" t="s">
        <v>195</v>
      </c>
    </row>
    <row r="28" spans="1:22" ht="36" customHeight="1" x14ac:dyDescent="0.3">
      <c r="A28" s="7" t="s">
        <v>196</v>
      </c>
      <c r="B28" s="7" t="s">
        <v>197</v>
      </c>
      <c r="C28" s="7" t="s">
        <v>198</v>
      </c>
      <c r="D28" s="7" t="s">
        <v>174</v>
      </c>
      <c r="E28" s="7" t="s">
        <v>175</v>
      </c>
      <c r="F28" s="7">
        <v>4</v>
      </c>
      <c r="G28" s="7">
        <v>8</v>
      </c>
      <c r="H28" s="7" t="s">
        <v>28</v>
      </c>
      <c r="I28" s="7" t="s">
        <v>29</v>
      </c>
      <c r="J28" s="7" t="s">
        <v>30</v>
      </c>
      <c r="K28" s="7" t="s">
        <v>31</v>
      </c>
      <c r="L28" s="7" t="s">
        <v>32</v>
      </c>
      <c r="M28" s="7" t="s">
        <v>32</v>
      </c>
      <c r="N28" s="7" t="s">
        <v>199</v>
      </c>
      <c r="O28" s="7" t="s">
        <v>200</v>
      </c>
      <c r="P28" s="59"/>
      <c r="Q28" s="7" t="s">
        <v>101</v>
      </c>
      <c r="R28" s="7" t="str">
        <f t="shared" si="2"/>
        <v>MED</v>
      </c>
      <c r="S28" s="32">
        <v>1.4466666666666665</v>
      </c>
      <c r="T28" s="7">
        <v>2</v>
      </c>
      <c r="U28" s="7" t="s">
        <v>104</v>
      </c>
      <c r="V28" s="7" t="s">
        <v>202</v>
      </c>
    </row>
    <row r="29" spans="1:22" ht="36" customHeight="1" x14ac:dyDescent="0.3">
      <c r="A29" s="7" t="s">
        <v>203</v>
      </c>
      <c r="B29" s="7" t="s">
        <v>204</v>
      </c>
      <c r="C29" s="7" t="s">
        <v>205</v>
      </c>
      <c r="D29" s="7" t="s">
        <v>174</v>
      </c>
      <c r="E29" s="7" t="s">
        <v>175</v>
      </c>
      <c r="F29" s="7">
        <v>5</v>
      </c>
      <c r="G29" s="7">
        <v>10</v>
      </c>
      <c r="H29" s="7" t="s">
        <v>28</v>
      </c>
      <c r="I29" s="7" t="s">
        <v>29</v>
      </c>
      <c r="J29" s="7" t="s">
        <v>31</v>
      </c>
      <c r="K29" s="7" t="s">
        <v>31</v>
      </c>
      <c r="L29" s="7" t="s">
        <v>32</v>
      </c>
      <c r="M29" s="7" t="s">
        <v>32</v>
      </c>
      <c r="N29" s="7" t="s">
        <v>206</v>
      </c>
      <c r="O29" s="7" t="s">
        <v>207</v>
      </c>
      <c r="P29" s="60"/>
      <c r="Q29" s="7" t="s">
        <v>118</v>
      </c>
      <c r="R29" s="7" t="str">
        <f t="shared" si="2"/>
        <v>ECO</v>
      </c>
      <c r="S29" s="32">
        <v>0.63</v>
      </c>
      <c r="T29" s="7">
        <v>2</v>
      </c>
      <c r="U29" s="7" t="s">
        <v>104</v>
      </c>
      <c r="V29" s="7" t="s">
        <v>208</v>
      </c>
    </row>
    <row r="30" spans="1:22" ht="36" customHeight="1" x14ac:dyDescent="0.3">
      <c r="A30" s="7" t="s">
        <v>209</v>
      </c>
      <c r="B30" s="7" t="s">
        <v>210</v>
      </c>
      <c r="C30" s="7" t="s">
        <v>211</v>
      </c>
      <c r="D30" s="7" t="s">
        <v>174</v>
      </c>
      <c r="E30" s="7" t="s">
        <v>175</v>
      </c>
      <c r="F30" s="7">
        <v>3</v>
      </c>
      <c r="G30" s="7">
        <v>8</v>
      </c>
      <c r="H30" s="7" t="s">
        <v>26</v>
      </c>
      <c r="I30" s="7" t="s">
        <v>88</v>
      </c>
      <c r="J30" s="7" t="s">
        <v>30</v>
      </c>
      <c r="K30" s="7" t="s">
        <v>31</v>
      </c>
      <c r="L30" s="7" t="s">
        <v>32</v>
      </c>
      <c r="M30" s="7" t="s">
        <v>32</v>
      </c>
      <c r="N30" s="7" t="s">
        <v>116</v>
      </c>
      <c r="O30" s="7" t="s">
        <v>212</v>
      </c>
      <c r="P30" s="47"/>
      <c r="Q30" s="7" t="s">
        <v>118</v>
      </c>
      <c r="R30" s="7" t="str">
        <f t="shared" si="2"/>
        <v>PRE</v>
      </c>
      <c r="S30" s="32">
        <v>2.3966666666666665</v>
      </c>
      <c r="T30" s="7">
        <v>2</v>
      </c>
      <c r="U30" s="7" t="s">
        <v>104</v>
      </c>
      <c r="V30" s="7" t="s">
        <v>214</v>
      </c>
    </row>
    <row r="31" spans="1:22" ht="36" customHeight="1" x14ac:dyDescent="0.3">
      <c r="A31" s="7" t="s">
        <v>215</v>
      </c>
      <c r="B31" s="7" t="s">
        <v>216</v>
      </c>
      <c r="C31" s="7" t="s">
        <v>217</v>
      </c>
      <c r="D31" s="7" t="s">
        <v>174</v>
      </c>
      <c r="E31" s="7" t="s">
        <v>175</v>
      </c>
      <c r="F31" s="7">
        <v>4</v>
      </c>
      <c r="G31" s="7">
        <v>8</v>
      </c>
      <c r="H31" s="7" t="s">
        <v>26</v>
      </c>
      <c r="I31" s="7" t="s">
        <v>29</v>
      </c>
      <c r="J31" s="7" t="s">
        <v>31</v>
      </c>
      <c r="K31" s="7" t="s">
        <v>31</v>
      </c>
      <c r="L31" s="7" t="s">
        <v>32</v>
      </c>
      <c r="M31" s="7" t="s">
        <v>32</v>
      </c>
      <c r="N31" s="7" t="s">
        <v>218</v>
      </c>
      <c r="O31" s="7" t="s">
        <v>219</v>
      </c>
      <c r="P31" s="61"/>
      <c r="Q31" s="7" t="s">
        <v>35</v>
      </c>
      <c r="R31" s="7" t="str">
        <f t="shared" si="2"/>
        <v>MED</v>
      </c>
      <c r="S31" s="32">
        <v>1.1666666666666667</v>
      </c>
      <c r="T31" s="7">
        <v>2</v>
      </c>
      <c r="U31" s="7" t="s">
        <v>104</v>
      </c>
      <c r="V31" s="7" t="s">
        <v>221</v>
      </c>
    </row>
    <row r="32" spans="1:22" ht="36" customHeight="1" x14ac:dyDescent="0.3">
      <c r="A32" s="9" t="s">
        <v>222</v>
      </c>
      <c r="B32" s="9" t="s">
        <v>223</v>
      </c>
      <c r="C32" s="9" t="s">
        <v>224</v>
      </c>
      <c r="D32" s="9" t="s">
        <v>225</v>
      </c>
      <c r="E32" s="9" t="s">
        <v>226</v>
      </c>
      <c r="F32" s="9">
        <v>6</v>
      </c>
      <c r="G32" s="9">
        <v>20</v>
      </c>
      <c r="H32" s="9" t="s">
        <v>28</v>
      </c>
      <c r="I32" s="9" t="s">
        <v>29</v>
      </c>
      <c r="J32" s="9" t="s">
        <v>30</v>
      </c>
      <c r="K32" s="9" t="s">
        <v>49</v>
      </c>
      <c r="L32" s="9" t="s">
        <v>32</v>
      </c>
      <c r="M32" s="9" t="s">
        <v>167</v>
      </c>
      <c r="N32" s="9" t="s">
        <v>64</v>
      </c>
      <c r="O32" s="9" t="s">
        <v>227</v>
      </c>
      <c r="P32" s="52"/>
      <c r="Q32" s="9" t="s">
        <v>101</v>
      </c>
      <c r="R32" s="9" t="str">
        <f>IF(S32&lt;=0.75,"ECO",IF(S32&lt;=1.5,"MED","PRE"))</f>
        <v>ECO</v>
      </c>
      <c r="S32" s="33">
        <v>0.62333333333333341</v>
      </c>
      <c r="T32" s="9">
        <v>1</v>
      </c>
      <c r="U32" s="9" t="s">
        <v>104</v>
      </c>
      <c r="V32" s="9" t="s">
        <v>230</v>
      </c>
    </row>
    <row r="33" spans="1:22" ht="36" customHeight="1" x14ac:dyDescent="0.3">
      <c r="A33" s="9" t="s">
        <v>231</v>
      </c>
      <c r="B33" s="9" t="s">
        <v>232</v>
      </c>
      <c r="C33" s="9" t="s">
        <v>233</v>
      </c>
      <c r="D33" s="9" t="s">
        <v>225</v>
      </c>
      <c r="E33" s="9" t="s">
        <v>226</v>
      </c>
      <c r="F33" s="9">
        <v>10</v>
      </c>
      <c r="G33" s="9">
        <v>20</v>
      </c>
      <c r="H33" s="9" t="s">
        <v>26</v>
      </c>
      <c r="I33" s="9" t="s">
        <v>88</v>
      </c>
      <c r="J33" s="9" t="s">
        <v>30</v>
      </c>
      <c r="K33" s="9" t="s">
        <v>31</v>
      </c>
      <c r="L33" s="9" t="s">
        <v>32</v>
      </c>
      <c r="M33" s="9" t="s">
        <v>167</v>
      </c>
      <c r="N33" s="9" t="s">
        <v>116</v>
      </c>
      <c r="O33" s="9" t="s">
        <v>227</v>
      </c>
      <c r="P33" s="52"/>
      <c r="Q33" s="9" t="s">
        <v>118</v>
      </c>
      <c r="R33" s="9" t="str">
        <f t="shared" ref="R33:R42" si="3">IF(S33&lt;=0.75,"ECO",IF(S33&lt;=1.5,"MED","PRE"))</f>
        <v>MED</v>
      </c>
      <c r="S33" s="33">
        <v>0.8666666666666667</v>
      </c>
      <c r="T33" s="9">
        <v>1</v>
      </c>
      <c r="U33" s="9" t="s">
        <v>104</v>
      </c>
      <c r="V33" s="9" t="s">
        <v>234</v>
      </c>
    </row>
    <row r="34" spans="1:22" ht="36" customHeight="1" x14ac:dyDescent="0.3">
      <c r="A34" s="9" t="s">
        <v>235</v>
      </c>
      <c r="B34" s="9" t="s">
        <v>236</v>
      </c>
      <c r="C34" s="9" t="s">
        <v>237</v>
      </c>
      <c r="D34" s="9" t="s">
        <v>225</v>
      </c>
      <c r="E34" s="9" t="s">
        <v>226</v>
      </c>
      <c r="F34" s="9">
        <v>5</v>
      </c>
      <c r="G34" s="9">
        <v>15</v>
      </c>
      <c r="H34" s="9" t="s">
        <v>28</v>
      </c>
      <c r="I34" s="9" t="s">
        <v>29</v>
      </c>
      <c r="J34" s="9" t="s">
        <v>30</v>
      </c>
      <c r="K34" s="9" t="s">
        <v>31</v>
      </c>
      <c r="L34" s="9" t="s">
        <v>32</v>
      </c>
      <c r="M34" s="9" t="s">
        <v>32</v>
      </c>
      <c r="N34" s="9" t="s">
        <v>64</v>
      </c>
      <c r="O34" s="9" t="s">
        <v>227</v>
      </c>
      <c r="P34" s="52"/>
      <c r="Q34" s="9" t="s">
        <v>118</v>
      </c>
      <c r="R34" s="9" t="str">
        <f t="shared" si="3"/>
        <v>ECO</v>
      </c>
      <c r="S34" s="33">
        <v>0.62333333333333341</v>
      </c>
      <c r="T34" s="9">
        <v>1</v>
      </c>
      <c r="U34" s="9" t="s">
        <v>104</v>
      </c>
      <c r="V34" s="9" t="s">
        <v>238</v>
      </c>
    </row>
    <row r="35" spans="1:22" ht="36" customHeight="1" x14ac:dyDescent="0.3">
      <c r="A35" s="9" t="s">
        <v>239</v>
      </c>
      <c r="B35" s="9" t="s">
        <v>240</v>
      </c>
      <c r="C35" s="9" t="s">
        <v>241</v>
      </c>
      <c r="D35" s="9" t="s">
        <v>225</v>
      </c>
      <c r="E35" s="9" t="s">
        <v>226</v>
      </c>
      <c r="F35" s="9">
        <v>10</v>
      </c>
      <c r="G35" s="9">
        <v>20</v>
      </c>
      <c r="H35" s="9" t="s">
        <v>28</v>
      </c>
      <c r="I35" s="9" t="s">
        <v>88</v>
      </c>
      <c r="J35" s="9" t="s">
        <v>30</v>
      </c>
      <c r="K35" s="9" t="s">
        <v>31</v>
      </c>
      <c r="L35" s="9" t="s">
        <v>32</v>
      </c>
      <c r="M35" s="9" t="s">
        <v>167</v>
      </c>
      <c r="N35" s="9" t="s">
        <v>116</v>
      </c>
      <c r="O35" s="9" t="s">
        <v>242</v>
      </c>
      <c r="P35" s="43"/>
      <c r="Q35" s="9" t="s">
        <v>243</v>
      </c>
      <c r="R35" s="9" t="str">
        <f t="shared" si="3"/>
        <v>ECO</v>
      </c>
      <c r="S35" s="33">
        <v>0.55333333333333334</v>
      </c>
      <c r="T35" s="9">
        <v>1</v>
      </c>
      <c r="U35" s="9" t="s">
        <v>104</v>
      </c>
      <c r="V35" s="9" t="s">
        <v>244</v>
      </c>
    </row>
    <row r="36" spans="1:22" ht="36" customHeight="1" x14ac:dyDescent="0.3">
      <c r="A36" s="9" t="s">
        <v>245</v>
      </c>
      <c r="B36" s="9" t="s">
        <v>246</v>
      </c>
      <c r="C36" s="9" t="s">
        <v>247</v>
      </c>
      <c r="D36" s="9" t="s">
        <v>225</v>
      </c>
      <c r="E36" s="9" t="s">
        <v>226</v>
      </c>
      <c r="F36" s="9">
        <v>10</v>
      </c>
      <c r="G36" s="9">
        <v>20</v>
      </c>
      <c r="H36" s="9" t="s">
        <v>28</v>
      </c>
      <c r="I36" s="9" t="s">
        <v>29</v>
      </c>
      <c r="J36" s="9" t="s">
        <v>31</v>
      </c>
      <c r="K36" s="9" t="s">
        <v>30</v>
      </c>
      <c r="L36" s="9" t="s">
        <v>32</v>
      </c>
      <c r="M36" s="9" t="s">
        <v>167</v>
      </c>
      <c r="N36" s="9" t="s">
        <v>116</v>
      </c>
      <c r="O36" s="9" t="s">
        <v>248</v>
      </c>
      <c r="P36" s="43"/>
      <c r="Q36" s="9" t="s">
        <v>243</v>
      </c>
      <c r="R36" s="9" t="str">
        <f t="shared" si="3"/>
        <v>ECO</v>
      </c>
      <c r="S36" s="33">
        <v>0.54666666666666663</v>
      </c>
      <c r="T36" s="9">
        <v>1</v>
      </c>
      <c r="U36" s="9" t="s">
        <v>104</v>
      </c>
      <c r="V36" s="9" t="s">
        <v>250</v>
      </c>
    </row>
    <row r="37" spans="1:22" ht="36" customHeight="1" x14ac:dyDescent="0.3">
      <c r="A37" s="9" t="s">
        <v>251</v>
      </c>
      <c r="B37" s="9" t="s">
        <v>252</v>
      </c>
      <c r="C37" s="9" t="s">
        <v>253</v>
      </c>
      <c r="D37" s="9" t="s">
        <v>225</v>
      </c>
      <c r="E37" s="9" t="s">
        <v>226</v>
      </c>
      <c r="F37" s="9">
        <v>10</v>
      </c>
      <c r="G37" s="9">
        <v>20</v>
      </c>
      <c r="H37" s="9" t="s">
        <v>26</v>
      </c>
      <c r="I37" s="9" t="s">
        <v>88</v>
      </c>
      <c r="J37" s="9" t="s">
        <v>31</v>
      </c>
      <c r="K37" s="9" t="s">
        <v>31</v>
      </c>
      <c r="L37" s="9" t="s">
        <v>32</v>
      </c>
      <c r="M37" s="9" t="s">
        <v>32</v>
      </c>
      <c r="N37" s="9" t="s">
        <v>116</v>
      </c>
      <c r="O37" s="9" t="s">
        <v>254</v>
      </c>
      <c r="P37" s="62"/>
      <c r="Q37" s="9" t="s">
        <v>118</v>
      </c>
      <c r="R37" s="9" t="str">
        <f t="shared" si="3"/>
        <v>ECO</v>
      </c>
      <c r="S37" s="33">
        <v>0.6</v>
      </c>
      <c r="T37" s="9">
        <v>1</v>
      </c>
      <c r="U37" s="9" t="s">
        <v>104</v>
      </c>
      <c r="V37" s="9" t="s">
        <v>255</v>
      </c>
    </row>
    <row r="38" spans="1:22" ht="36" customHeight="1" x14ac:dyDescent="0.3">
      <c r="A38" s="9" t="s">
        <v>256</v>
      </c>
      <c r="B38" s="9" t="s">
        <v>257</v>
      </c>
      <c r="C38" s="9" t="s">
        <v>258</v>
      </c>
      <c r="D38" s="9" t="s">
        <v>225</v>
      </c>
      <c r="E38" s="9" t="s">
        <v>226</v>
      </c>
      <c r="F38" s="9">
        <v>6</v>
      </c>
      <c r="G38" s="9">
        <v>29</v>
      </c>
      <c r="H38" s="9" t="s">
        <v>26</v>
      </c>
      <c r="I38" s="9" t="s">
        <v>88</v>
      </c>
      <c r="J38" s="9" t="s">
        <v>31</v>
      </c>
      <c r="K38" s="9" t="s">
        <v>30</v>
      </c>
      <c r="L38" s="9" t="s">
        <v>32</v>
      </c>
      <c r="M38" s="9" t="s">
        <v>32</v>
      </c>
      <c r="N38" s="9" t="s">
        <v>150</v>
      </c>
      <c r="O38" s="9" t="s">
        <v>259</v>
      </c>
      <c r="P38" s="63"/>
      <c r="Q38" s="9" t="s">
        <v>194</v>
      </c>
      <c r="R38" s="9" t="str">
        <f t="shared" si="3"/>
        <v>ECO</v>
      </c>
      <c r="S38" s="33">
        <v>0.73666666666666669</v>
      </c>
      <c r="T38" s="9">
        <v>1</v>
      </c>
      <c r="U38" s="9" t="s">
        <v>104</v>
      </c>
      <c r="V38" s="9" t="s">
        <v>260</v>
      </c>
    </row>
    <row r="39" spans="1:22" ht="36" customHeight="1" x14ac:dyDescent="0.3">
      <c r="A39" s="9" t="s">
        <v>261</v>
      </c>
      <c r="B39" s="9" t="s">
        <v>262</v>
      </c>
      <c r="C39" s="9" t="s">
        <v>263</v>
      </c>
      <c r="D39" s="9" t="s">
        <v>225</v>
      </c>
      <c r="E39" s="9" t="s">
        <v>226</v>
      </c>
      <c r="F39" s="9">
        <v>15</v>
      </c>
      <c r="G39" s="9">
        <v>20</v>
      </c>
      <c r="H39" s="9" t="s">
        <v>26</v>
      </c>
      <c r="I39" s="9" t="s">
        <v>30</v>
      </c>
      <c r="J39" s="9" t="s">
        <v>30</v>
      </c>
      <c r="K39" s="9" t="s">
        <v>30</v>
      </c>
      <c r="L39" s="9" t="s">
        <v>32</v>
      </c>
      <c r="M39" s="9" t="s">
        <v>32</v>
      </c>
      <c r="N39" s="9" t="s">
        <v>264</v>
      </c>
      <c r="O39" s="9" t="s">
        <v>265</v>
      </c>
      <c r="P39" s="64"/>
      <c r="Q39" s="9" t="s">
        <v>58</v>
      </c>
      <c r="R39" s="9" t="str">
        <f t="shared" si="3"/>
        <v>ECO</v>
      </c>
      <c r="S39" s="33">
        <v>0.64666666666666661</v>
      </c>
      <c r="T39" s="9">
        <v>1</v>
      </c>
      <c r="U39" s="9" t="s">
        <v>104</v>
      </c>
      <c r="V39" s="9" t="s">
        <v>266</v>
      </c>
    </row>
    <row r="40" spans="1:22" ht="36" customHeight="1" x14ac:dyDescent="0.3">
      <c r="A40" s="9" t="s">
        <v>267</v>
      </c>
      <c r="B40" s="9" t="s">
        <v>268</v>
      </c>
      <c r="C40" s="9" t="s">
        <v>269</v>
      </c>
      <c r="D40" s="9" t="s">
        <v>225</v>
      </c>
      <c r="E40" s="9" t="s">
        <v>226</v>
      </c>
      <c r="F40" s="9">
        <v>8</v>
      </c>
      <c r="G40" s="9">
        <v>15</v>
      </c>
      <c r="H40" s="9" t="s">
        <v>26</v>
      </c>
      <c r="I40" s="9" t="s">
        <v>88</v>
      </c>
      <c r="J40" s="9" t="s">
        <v>30</v>
      </c>
      <c r="K40" s="9" t="s">
        <v>30</v>
      </c>
      <c r="L40" s="9" t="s">
        <v>32</v>
      </c>
      <c r="M40" s="9" t="s">
        <v>32</v>
      </c>
      <c r="N40" s="9" t="s">
        <v>33</v>
      </c>
      <c r="O40" s="9" t="s">
        <v>270</v>
      </c>
      <c r="P40" s="62"/>
      <c r="Q40" s="9" t="s">
        <v>118</v>
      </c>
      <c r="R40" s="9" t="str">
        <f t="shared" si="3"/>
        <v>PRE</v>
      </c>
      <c r="S40" s="33">
        <v>1.7</v>
      </c>
      <c r="T40" s="9">
        <v>1</v>
      </c>
      <c r="U40" s="9" t="s">
        <v>104</v>
      </c>
      <c r="V40" s="9" t="s">
        <v>271</v>
      </c>
    </row>
    <row r="41" spans="1:22" ht="36" customHeight="1" x14ac:dyDescent="0.3">
      <c r="A41" s="9" t="s">
        <v>272</v>
      </c>
      <c r="B41" s="9" t="s">
        <v>273</v>
      </c>
      <c r="C41" s="9" t="s">
        <v>274</v>
      </c>
      <c r="D41" s="9" t="s">
        <v>225</v>
      </c>
      <c r="E41" s="9" t="s">
        <v>226</v>
      </c>
      <c r="F41" s="9">
        <v>10</v>
      </c>
      <c r="G41" s="9">
        <v>20</v>
      </c>
      <c r="H41" s="9" t="s">
        <v>26</v>
      </c>
      <c r="I41" s="9" t="s">
        <v>30</v>
      </c>
      <c r="J41" s="9" t="s">
        <v>30</v>
      </c>
      <c r="K41" s="9" t="s">
        <v>31</v>
      </c>
      <c r="L41" s="9" t="s">
        <v>32</v>
      </c>
      <c r="M41" s="9" t="s">
        <v>32</v>
      </c>
      <c r="N41" s="9" t="s">
        <v>150</v>
      </c>
      <c r="O41" s="9" t="s">
        <v>275</v>
      </c>
      <c r="P41" s="64"/>
      <c r="Q41" s="9" t="s">
        <v>194</v>
      </c>
      <c r="R41" s="9" t="str">
        <f t="shared" si="3"/>
        <v>ECO</v>
      </c>
      <c r="S41" s="33">
        <v>0.65333333333333332</v>
      </c>
      <c r="T41" s="9">
        <v>1</v>
      </c>
      <c r="U41" s="9" t="s">
        <v>104</v>
      </c>
      <c r="V41" s="9" t="s">
        <v>277</v>
      </c>
    </row>
    <row r="42" spans="1:22" ht="36" customHeight="1" x14ac:dyDescent="0.3">
      <c r="A42" s="9" t="s">
        <v>278</v>
      </c>
      <c r="B42" s="9" t="s">
        <v>279</v>
      </c>
      <c r="C42" s="9" t="s">
        <v>280</v>
      </c>
      <c r="D42" s="9" t="s">
        <v>225</v>
      </c>
      <c r="E42" s="9" t="s">
        <v>226</v>
      </c>
      <c r="F42" s="9">
        <v>15</v>
      </c>
      <c r="G42" s="9">
        <v>30</v>
      </c>
      <c r="H42" s="9" t="s">
        <v>26</v>
      </c>
      <c r="I42" s="9" t="s">
        <v>30</v>
      </c>
      <c r="J42" s="9" t="s">
        <v>30</v>
      </c>
      <c r="K42" s="9" t="s">
        <v>31</v>
      </c>
      <c r="L42" s="9" t="s">
        <v>32</v>
      </c>
      <c r="M42" s="9" t="s">
        <v>32</v>
      </c>
      <c r="N42" s="9" t="s">
        <v>281</v>
      </c>
      <c r="O42" s="9" t="s">
        <v>282</v>
      </c>
      <c r="P42" s="63"/>
      <c r="Q42" s="9" t="s">
        <v>194</v>
      </c>
      <c r="R42" s="9" t="str">
        <f t="shared" si="3"/>
        <v>ECO</v>
      </c>
      <c r="S42" s="33">
        <v>0.65333333333333332</v>
      </c>
      <c r="T42" s="9">
        <v>1</v>
      </c>
      <c r="U42" s="9" t="s">
        <v>104</v>
      </c>
      <c r="V42" s="9" t="s">
        <v>283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AFE6-8AF4-421A-AA0B-737A24FD7EA2}">
  <dimension ref="A1:K55"/>
  <sheetViews>
    <sheetView tabSelected="1" topLeftCell="A31" workbookViewId="0">
      <selection activeCell="E60" sqref="E60"/>
    </sheetView>
  </sheetViews>
  <sheetFormatPr baseColWidth="10" defaultRowHeight="14.4" x14ac:dyDescent="0.3"/>
  <cols>
    <col min="1" max="1" width="23.21875" customWidth="1"/>
    <col min="2" max="2" width="22.77734375" customWidth="1"/>
    <col min="11" max="11" width="11.5546875" style="20"/>
  </cols>
  <sheetData>
    <row r="1" spans="1:11" ht="28.8" x14ac:dyDescent="0.3">
      <c r="A1" s="72" t="s">
        <v>317</v>
      </c>
      <c r="B1" s="73"/>
      <c r="C1" s="74" t="s">
        <v>318</v>
      </c>
      <c r="D1" s="74" t="s">
        <v>319</v>
      </c>
      <c r="E1" s="74" t="s">
        <v>320</v>
      </c>
      <c r="F1" s="74" t="s">
        <v>321</v>
      </c>
      <c r="G1" s="74" t="s">
        <v>322</v>
      </c>
      <c r="H1" s="74" t="s">
        <v>323</v>
      </c>
      <c r="I1" s="74" t="s">
        <v>334</v>
      </c>
      <c r="J1" s="74" t="s">
        <v>337</v>
      </c>
      <c r="K1" s="75" t="s">
        <v>338</v>
      </c>
    </row>
    <row r="2" spans="1:11" x14ac:dyDescent="0.3">
      <c r="A2" s="13" t="s">
        <v>324</v>
      </c>
      <c r="B2" s="68" t="s">
        <v>25</v>
      </c>
      <c r="C2" s="65">
        <v>0.37</v>
      </c>
      <c r="D2" s="65">
        <v>0.65</v>
      </c>
      <c r="E2" s="65">
        <v>0.69</v>
      </c>
      <c r="F2" s="65"/>
      <c r="G2" s="65"/>
      <c r="H2" s="65"/>
      <c r="I2" s="65"/>
      <c r="J2" s="65"/>
      <c r="K2" s="66">
        <f t="shared" ref="K2:K16" si="0">AVERAGE(C2:J2)</f>
        <v>0.56999999999999995</v>
      </c>
    </row>
    <row r="3" spans="1:11" x14ac:dyDescent="0.3">
      <c r="A3" s="13" t="s">
        <v>41</v>
      </c>
      <c r="B3" s="68" t="s">
        <v>42</v>
      </c>
      <c r="C3" s="65">
        <v>0.37</v>
      </c>
      <c r="D3" s="65">
        <v>0.65</v>
      </c>
      <c r="E3" s="65">
        <v>0.69</v>
      </c>
      <c r="F3" s="65"/>
      <c r="G3" s="65"/>
      <c r="H3" s="65"/>
      <c r="I3" s="65"/>
      <c r="J3" s="65"/>
      <c r="K3" s="66">
        <f t="shared" si="0"/>
        <v>0.56999999999999995</v>
      </c>
    </row>
    <row r="4" spans="1:11" x14ac:dyDescent="0.3">
      <c r="A4" s="13" t="s">
        <v>47</v>
      </c>
      <c r="B4" s="68" t="s">
        <v>48</v>
      </c>
      <c r="C4" s="65">
        <v>0.37</v>
      </c>
      <c r="D4" s="65">
        <v>0.65</v>
      </c>
      <c r="E4" s="65">
        <v>0.69</v>
      </c>
      <c r="F4" s="65"/>
      <c r="G4" s="65"/>
      <c r="H4" s="65"/>
      <c r="I4" s="65"/>
      <c r="J4" s="65"/>
      <c r="K4" s="66">
        <f t="shared" si="0"/>
        <v>0.56999999999999995</v>
      </c>
    </row>
    <row r="5" spans="1:11" x14ac:dyDescent="0.3">
      <c r="A5" s="13" t="s">
        <v>54</v>
      </c>
      <c r="B5" s="68" t="s">
        <v>55</v>
      </c>
      <c r="C5" s="65">
        <v>0.39</v>
      </c>
      <c r="D5" s="65">
        <v>0.65</v>
      </c>
      <c r="E5" s="65">
        <v>0.69</v>
      </c>
      <c r="F5" s="65"/>
      <c r="G5" s="65"/>
      <c r="H5" s="65"/>
      <c r="I5" s="65"/>
      <c r="J5" s="65"/>
      <c r="K5" s="67">
        <f t="shared" si="0"/>
        <v>0.57666666666666666</v>
      </c>
    </row>
    <row r="6" spans="1:11" x14ac:dyDescent="0.3">
      <c r="A6" s="13" t="s">
        <v>62</v>
      </c>
      <c r="B6" s="68" t="s">
        <v>63</v>
      </c>
      <c r="C6" s="65">
        <v>0.37</v>
      </c>
      <c r="D6" s="65">
        <v>0.65</v>
      </c>
      <c r="E6" s="65">
        <v>0.69</v>
      </c>
      <c r="F6" s="65"/>
      <c r="G6" s="65"/>
      <c r="H6" s="65"/>
      <c r="I6" s="65"/>
      <c r="J6" s="65"/>
      <c r="K6" s="66">
        <f t="shared" si="0"/>
        <v>0.56999999999999995</v>
      </c>
    </row>
    <row r="7" spans="1:11" x14ac:dyDescent="0.3">
      <c r="A7" s="13" t="s">
        <v>69</v>
      </c>
      <c r="B7" s="68" t="s">
        <v>70</v>
      </c>
      <c r="C7" s="65">
        <v>0.37</v>
      </c>
      <c r="D7" s="65">
        <v>0.65</v>
      </c>
      <c r="E7" s="65">
        <v>0.69</v>
      </c>
      <c r="F7" s="65"/>
      <c r="G7" s="65"/>
      <c r="H7" s="65"/>
      <c r="I7" s="65"/>
      <c r="J7" s="65"/>
      <c r="K7" s="66">
        <f t="shared" si="0"/>
        <v>0.56999999999999995</v>
      </c>
    </row>
    <row r="8" spans="1:11" x14ac:dyDescent="0.3">
      <c r="A8" s="13" t="s">
        <v>75</v>
      </c>
      <c r="B8" s="68" t="s">
        <v>76</v>
      </c>
      <c r="C8" s="65"/>
      <c r="D8" s="65"/>
      <c r="E8" s="65">
        <v>0.69</v>
      </c>
      <c r="F8" s="65">
        <v>3.6</v>
      </c>
      <c r="G8" s="65">
        <v>3.05</v>
      </c>
      <c r="H8" s="65"/>
      <c r="I8" s="65"/>
      <c r="J8" s="65"/>
      <c r="K8" s="67">
        <f t="shared" si="0"/>
        <v>2.4466666666666668</v>
      </c>
    </row>
    <row r="9" spans="1:11" x14ac:dyDescent="0.3">
      <c r="A9" s="13" t="s">
        <v>81</v>
      </c>
      <c r="B9" s="68" t="s">
        <v>82</v>
      </c>
      <c r="C9" s="65">
        <v>0.37</v>
      </c>
      <c r="D9" s="65">
        <v>0.65</v>
      </c>
      <c r="E9" s="65">
        <v>0.89</v>
      </c>
      <c r="F9" s="65"/>
      <c r="G9" s="65"/>
      <c r="H9" s="65"/>
      <c r="I9" s="65"/>
      <c r="J9" s="65"/>
      <c r="K9" s="67">
        <f t="shared" si="0"/>
        <v>0.63666666666666671</v>
      </c>
    </row>
    <row r="10" spans="1:11" x14ac:dyDescent="0.3">
      <c r="A10" s="13" t="s">
        <v>86</v>
      </c>
      <c r="B10" s="68" t="s">
        <v>87</v>
      </c>
      <c r="C10" s="65">
        <v>0.4</v>
      </c>
      <c r="D10" s="65">
        <v>0.75</v>
      </c>
      <c r="E10" s="65">
        <v>0.89</v>
      </c>
      <c r="F10" s="65"/>
      <c r="G10" s="65"/>
      <c r="H10" s="65"/>
      <c r="I10" s="65"/>
      <c r="J10" s="65"/>
      <c r="K10" s="67">
        <f t="shared" si="0"/>
        <v>0.68</v>
      </c>
    </row>
    <row r="11" spans="1:11" x14ac:dyDescent="0.3">
      <c r="A11" s="69" t="s">
        <v>95</v>
      </c>
      <c r="B11" s="69" t="s">
        <v>96</v>
      </c>
      <c r="C11" s="65">
        <v>0.42</v>
      </c>
      <c r="D11" s="65">
        <v>0.83</v>
      </c>
      <c r="E11" s="65">
        <v>0.89</v>
      </c>
      <c r="F11" s="65"/>
      <c r="G11" s="65"/>
      <c r="H11" s="65"/>
      <c r="I11" s="65"/>
      <c r="J11" s="65"/>
      <c r="K11" s="67">
        <f t="shared" si="0"/>
        <v>0.71333333333333337</v>
      </c>
    </row>
    <row r="12" spans="1:11" x14ac:dyDescent="0.3">
      <c r="A12" s="69" t="s">
        <v>107</v>
      </c>
      <c r="B12" s="69" t="s">
        <v>108</v>
      </c>
      <c r="C12" s="65">
        <v>0.42</v>
      </c>
      <c r="D12" s="65">
        <v>0.6</v>
      </c>
      <c r="E12" s="65">
        <v>0.89</v>
      </c>
      <c r="F12" s="65"/>
      <c r="G12" s="65"/>
      <c r="H12" s="65"/>
      <c r="I12" s="65"/>
      <c r="J12" s="65"/>
      <c r="K12" s="67">
        <f t="shared" si="0"/>
        <v>0.63666666666666671</v>
      </c>
    </row>
    <row r="13" spans="1:11" x14ac:dyDescent="0.3">
      <c r="A13" s="69" t="s">
        <v>114</v>
      </c>
      <c r="B13" s="69" t="s">
        <v>115</v>
      </c>
      <c r="C13" s="65">
        <v>0.43</v>
      </c>
      <c r="D13" s="65">
        <v>0.9</v>
      </c>
      <c r="E13" s="65">
        <v>0.89</v>
      </c>
      <c r="F13" s="65"/>
      <c r="G13" s="65"/>
      <c r="H13" s="65"/>
      <c r="I13" s="65"/>
      <c r="J13" s="65"/>
      <c r="K13" s="67">
        <f t="shared" si="0"/>
        <v>0.7400000000000001</v>
      </c>
    </row>
    <row r="14" spans="1:11" x14ac:dyDescent="0.3">
      <c r="A14" s="69" t="s">
        <v>122</v>
      </c>
      <c r="B14" s="69" t="s">
        <v>123</v>
      </c>
      <c r="C14" s="65">
        <v>0.4</v>
      </c>
      <c r="D14" s="65">
        <v>0.65</v>
      </c>
      <c r="E14" s="65">
        <v>0.89</v>
      </c>
      <c r="F14" s="65"/>
      <c r="G14" s="65"/>
      <c r="H14" s="65"/>
      <c r="I14" s="65"/>
      <c r="J14" s="65"/>
      <c r="K14" s="67">
        <f t="shared" si="0"/>
        <v>0.64666666666666661</v>
      </c>
    </row>
    <row r="15" spans="1:11" x14ac:dyDescent="0.3">
      <c r="A15" s="69" t="s">
        <v>128</v>
      </c>
      <c r="B15" s="69" t="s">
        <v>129</v>
      </c>
      <c r="C15" s="65">
        <v>0.42</v>
      </c>
      <c r="D15" s="65">
        <v>0.99</v>
      </c>
      <c r="E15" s="65">
        <v>1.02</v>
      </c>
      <c r="F15" s="65"/>
      <c r="G15" s="65"/>
      <c r="H15" s="65"/>
      <c r="I15" s="65"/>
      <c r="J15" s="65"/>
      <c r="K15" s="67">
        <f t="shared" si="0"/>
        <v>0.80999999999999994</v>
      </c>
    </row>
    <row r="16" spans="1:11" ht="15" customHeight="1" x14ac:dyDescent="0.3">
      <c r="A16" s="69" t="s">
        <v>136</v>
      </c>
      <c r="B16" s="69" t="s">
        <v>137</v>
      </c>
      <c r="C16" s="65"/>
      <c r="D16" s="65"/>
      <c r="E16" s="65"/>
      <c r="F16" s="65"/>
      <c r="G16" s="65"/>
      <c r="H16" s="65">
        <v>3.49</v>
      </c>
      <c r="I16" s="65">
        <v>5.36</v>
      </c>
      <c r="J16" s="65">
        <v>6.25</v>
      </c>
      <c r="K16" s="67">
        <f t="shared" si="0"/>
        <v>5.0333333333333341</v>
      </c>
    </row>
    <row r="17" spans="1:11" x14ac:dyDescent="0.3">
      <c r="A17" s="69" t="s">
        <v>141</v>
      </c>
      <c r="B17" s="69" t="s">
        <v>142</v>
      </c>
      <c r="C17" s="65"/>
      <c r="D17" s="65"/>
      <c r="E17" s="65"/>
      <c r="F17" s="65"/>
      <c r="G17" s="65"/>
      <c r="H17" s="65">
        <v>4.95</v>
      </c>
      <c r="I17" s="65">
        <v>2.84</v>
      </c>
      <c r="J17" s="65">
        <v>3</v>
      </c>
      <c r="K17" s="67">
        <f>AVERAGE(C17:I17)</f>
        <v>3.895</v>
      </c>
    </row>
    <row r="18" spans="1:11" x14ac:dyDescent="0.3">
      <c r="A18" s="69" t="s">
        <v>148</v>
      </c>
      <c r="B18" s="69" t="s">
        <v>149</v>
      </c>
      <c r="C18" s="65">
        <v>0.6</v>
      </c>
      <c r="D18" s="65">
        <v>0.39</v>
      </c>
      <c r="E18" s="65">
        <v>0.89</v>
      </c>
      <c r="F18" s="65"/>
      <c r="G18" s="65"/>
      <c r="H18" s="65"/>
      <c r="I18" s="65"/>
      <c r="J18" s="65"/>
      <c r="K18" s="67">
        <f t="shared" ref="K18:K40" si="1">AVERAGE(C18:J18)</f>
        <v>0.62666666666666659</v>
      </c>
    </row>
    <row r="19" spans="1:11" ht="15" customHeight="1" x14ac:dyDescent="0.3">
      <c r="A19" s="69" t="s">
        <v>154</v>
      </c>
      <c r="B19" s="69" t="s">
        <v>155</v>
      </c>
      <c r="C19" s="65"/>
      <c r="D19" s="65">
        <v>0.79</v>
      </c>
      <c r="E19" s="65"/>
      <c r="F19" s="65">
        <v>3.19</v>
      </c>
      <c r="G19" s="65">
        <v>2.94</v>
      </c>
      <c r="H19" s="65"/>
      <c r="I19" s="65"/>
      <c r="J19" s="65"/>
      <c r="K19" s="67">
        <f t="shared" si="1"/>
        <v>2.3066666666666666</v>
      </c>
    </row>
    <row r="20" spans="1:11" ht="15" customHeight="1" x14ac:dyDescent="0.3">
      <c r="A20" s="69" t="s">
        <v>159</v>
      </c>
      <c r="B20" s="69" t="s">
        <v>160</v>
      </c>
      <c r="C20" s="65"/>
      <c r="D20" s="65">
        <v>0.79</v>
      </c>
      <c r="E20" s="65">
        <v>0.69</v>
      </c>
      <c r="F20" s="65"/>
      <c r="G20" s="65">
        <v>2.94</v>
      </c>
      <c r="H20" s="65"/>
      <c r="I20" s="65"/>
      <c r="J20" s="65"/>
      <c r="K20" s="67">
        <f t="shared" si="1"/>
        <v>1.4733333333333334</v>
      </c>
    </row>
    <row r="21" spans="1:11" x14ac:dyDescent="0.3">
      <c r="A21" s="69" t="s">
        <v>165</v>
      </c>
      <c r="B21" s="69" t="s">
        <v>166</v>
      </c>
      <c r="C21" s="65"/>
      <c r="D21" s="65">
        <v>0.85</v>
      </c>
      <c r="E21" s="65">
        <v>0.85</v>
      </c>
      <c r="F21" s="65">
        <v>5.36</v>
      </c>
      <c r="G21" s="65"/>
      <c r="H21" s="65"/>
      <c r="I21" s="65"/>
      <c r="J21" s="65"/>
      <c r="K21" s="67">
        <f t="shared" si="1"/>
        <v>2.3533333333333335</v>
      </c>
    </row>
    <row r="22" spans="1:11" ht="15" customHeight="1" x14ac:dyDescent="0.3">
      <c r="A22" s="70" t="s">
        <v>172</v>
      </c>
      <c r="B22" s="70" t="s">
        <v>173</v>
      </c>
      <c r="C22" s="65">
        <v>0.43</v>
      </c>
      <c r="D22" s="65">
        <v>0.66</v>
      </c>
      <c r="E22" s="65">
        <v>0.69</v>
      </c>
      <c r="F22" s="65"/>
      <c r="G22" s="65"/>
      <c r="H22" s="65"/>
      <c r="I22" s="65"/>
      <c r="J22" s="65"/>
      <c r="K22" s="67">
        <f t="shared" si="1"/>
        <v>0.59333333333333338</v>
      </c>
    </row>
    <row r="23" spans="1:11" x14ac:dyDescent="0.3">
      <c r="A23" s="70" t="s">
        <v>180</v>
      </c>
      <c r="B23" s="70" t="s">
        <v>181</v>
      </c>
      <c r="C23" s="65">
        <v>0.42</v>
      </c>
      <c r="D23" s="65"/>
      <c r="E23" s="65">
        <v>0.89</v>
      </c>
      <c r="F23" s="65">
        <v>6.45</v>
      </c>
      <c r="G23" s="65"/>
      <c r="H23" s="65"/>
      <c r="I23" s="65"/>
      <c r="J23" s="65"/>
      <c r="K23" s="67">
        <f t="shared" si="1"/>
        <v>2.5866666666666664</v>
      </c>
    </row>
    <row r="24" spans="1:11" x14ac:dyDescent="0.3">
      <c r="A24" s="70" t="s">
        <v>186</v>
      </c>
      <c r="B24" s="70" t="s">
        <v>187</v>
      </c>
      <c r="C24" s="65"/>
      <c r="D24" s="65">
        <v>0.87</v>
      </c>
      <c r="E24" s="65">
        <v>0.89</v>
      </c>
      <c r="F24" s="65"/>
      <c r="G24" s="65"/>
      <c r="H24" s="65">
        <v>3.98</v>
      </c>
      <c r="I24" s="65"/>
      <c r="J24" s="65"/>
      <c r="K24" s="67">
        <f t="shared" si="1"/>
        <v>1.9133333333333333</v>
      </c>
    </row>
    <row r="25" spans="1:11" ht="15" customHeight="1" x14ac:dyDescent="0.3">
      <c r="A25" s="70" t="s">
        <v>192</v>
      </c>
      <c r="B25" s="70" t="s">
        <v>193</v>
      </c>
      <c r="C25" s="65"/>
      <c r="D25" s="65">
        <v>0.6</v>
      </c>
      <c r="E25" s="65">
        <v>0.89</v>
      </c>
      <c r="F25" s="65">
        <v>2.0499999999999998</v>
      </c>
      <c r="G25" s="65"/>
      <c r="H25" s="65"/>
      <c r="I25" s="65"/>
      <c r="J25" s="65"/>
      <c r="K25" s="67">
        <f t="shared" si="1"/>
        <v>1.18</v>
      </c>
    </row>
    <row r="26" spans="1:11" x14ac:dyDescent="0.3">
      <c r="A26" s="70" t="s">
        <v>197</v>
      </c>
      <c r="B26" s="70" t="s">
        <v>198</v>
      </c>
      <c r="C26" s="65">
        <v>0.45</v>
      </c>
      <c r="D26" s="65">
        <v>0.95</v>
      </c>
      <c r="E26" s="65"/>
      <c r="F26" s="65"/>
      <c r="G26" s="65"/>
      <c r="H26" s="65">
        <v>2.94</v>
      </c>
      <c r="I26" s="65"/>
      <c r="J26" s="65"/>
      <c r="K26" s="67">
        <f t="shared" si="1"/>
        <v>1.4466666666666665</v>
      </c>
    </row>
    <row r="27" spans="1:11" x14ac:dyDescent="0.3">
      <c r="A27" s="70" t="s">
        <v>204</v>
      </c>
      <c r="B27" s="70" t="s">
        <v>205</v>
      </c>
      <c r="C27" s="65">
        <v>0.4</v>
      </c>
      <c r="D27" s="65">
        <v>0.6</v>
      </c>
      <c r="E27" s="65">
        <v>0.89</v>
      </c>
      <c r="F27" s="65"/>
      <c r="G27" s="65"/>
      <c r="H27" s="65"/>
      <c r="I27" s="65"/>
      <c r="J27" s="65"/>
      <c r="K27" s="67">
        <f t="shared" si="1"/>
        <v>0.63</v>
      </c>
    </row>
    <row r="28" spans="1:11" x14ac:dyDescent="0.3">
      <c r="A28" s="70" t="s">
        <v>210</v>
      </c>
      <c r="B28" s="70" t="s">
        <v>211</v>
      </c>
      <c r="C28" s="65"/>
      <c r="D28" s="65">
        <v>0.95</v>
      </c>
      <c r="E28" s="65"/>
      <c r="F28" s="65">
        <v>2.27</v>
      </c>
      <c r="G28" s="65"/>
      <c r="H28" s="65">
        <v>3.97</v>
      </c>
      <c r="I28" s="65"/>
      <c r="J28" s="65"/>
      <c r="K28" s="67">
        <f t="shared" si="1"/>
        <v>2.3966666666666665</v>
      </c>
    </row>
    <row r="29" spans="1:11" x14ac:dyDescent="0.3">
      <c r="A29" s="70" t="s">
        <v>216</v>
      </c>
      <c r="B29" s="70" t="s">
        <v>217</v>
      </c>
      <c r="C29" s="65">
        <v>0.5</v>
      </c>
      <c r="D29" s="65">
        <v>0.8</v>
      </c>
      <c r="E29" s="65"/>
      <c r="F29" s="65"/>
      <c r="G29" s="65"/>
      <c r="H29" s="65">
        <v>2.2000000000000002</v>
      </c>
      <c r="I29" s="65"/>
      <c r="J29" s="65"/>
      <c r="K29" s="67">
        <f t="shared" si="1"/>
        <v>1.1666666666666667</v>
      </c>
    </row>
    <row r="30" spans="1:11" ht="15" customHeight="1" x14ac:dyDescent="0.3">
      <c r="A30" s="71" t="s">
        <v>223</v>
      </c>
      <c r="B30" s="71" t="s">
        <v>224</v>
      </c>
      <c r="C30" s="65">
        <v>0.38</v>
      </c>
      <c r="D30" s="65">
        <v>0.6</v>
      </c>
      <c r="E30" s="65">
        <v>0.89</v>
      </c>
      <c r="F30" s="65"/>
      <c r="G30" s="65"/>
      <c r="H30" s="65"/>
      <c r="I30" s="65"/>
      <c r="J30" s="65"/>
      <c r="K30" s="67">
        <f t="shared" si="1"/>
        <v>0.62333333333333341</v>
      </c>
    </row>
    <row r="31" spans="1:11" x14ac:dyDescent="0.3">
      <c r="A31" s="71" t="s">
        <v>232</v>
      </c>
      <c r="B31" s="71" t="s">
        <v>233</v>
      </c>
      <c r="C31" s="65">
        <v>0.38</v>
      </c>
      <c r="D31" s="65">
        <v>0.65</v>
      </c>
      <c r="E31" s="65"/>
      <c r="F31" s="65">
        <v>1.57</v>
      </c>
      <c r="G31" s="65"/>
      <c r="H31" s="65"/>
      <c r="I31" s="65"/>
      <c r="J31" s="65"/>
      <c r="K31" s="67">
        <f t="shared" si="1"/>
        <v>0.8666666666666667</v>
      </c>
    </row>
    <row r="32" spans="1:11" x14ac:dyDescent="0.3">
      <c r="A32" s="71" t="s">
        <v>236</v>
      </c>
      <c r="B32" s="71" t="s">
        <v>237</v>
      </c>
      <c r="C32" s="65">
        <v>0.38</v>
      </c>
      <c r="D32" s="65">
        <v>0.6</v>
      </c>
      <c r="E32" s="65">
        <v>0.89</v>
      </c>
      <c r="F32" s="65"/>
      <c r="G32" s="65"/>
      <c r="H32" s="65"/>
      <c r="I32" s="65"/>
      <c r="J32" s="65"/>
      <c r="K32" s="67">
        <f t="shared" si="1"/>
        <v>0.62333333333333341</v>
      </c>
    </row>
    <row r="33" spans="1:11" x14ac:dyDescent="0.3">
      <c r="A33" s="71" t="s">
        <v>240</v>
      </c>
      <c r="B33" s="71" t="s">
        <v>241</v>
      </c>
      <c r="C33" s="65">
        <v>0.37</v>
      </c>
      <c r="D33" s="65">
        <v>0.6</v>
      </c>
      <c r="E33" s="65">
        <v>0.69</v>
      </c>
      <c r="F33" s="65"/>
      <c r="G33" s="65"/>
      <c r="H33" s="65"/>
      <c r="I33" s="65"/>
      <c r="J33" s="65"/>
      <c r="K33" s="67">
        <f t="shared" si="1"/>
        <v>0.55333333333333334</v>
      </c>
    </row>
    <row r="34" spans="1:11" x14ac:dyDescent="0.3">
      <c r="A34" s="71" t="s">
        <v>246</v>
      </c>
      <c r="B34" s="71" t="s">
        <v>247</v>
      </c>
      <c r="C34" s="65">
        <v>0.35</v>
      </c>
      <c r="D34" s="65">
        <v>0.6</v>
      </c>
      <c r="E34" s="65">
        <v>0.69</v>
      </c>
      <c r="F34" s="65"/>
      <c r="G34" s="65"/>
      <c r="H34" s="65"/>
      <c r="I34" s="65"/>
      <c r="J34" s="65"/>
      <c r="K34" s="67">
        <f t="shared" si="1"/>
        <v>0.54666666666666663</v>
      </c>
    </row>
    <row r="35" spans="1:11" x14ac:dyDescent="0.3">
      <c r="A35" s="71" t="s">
        <v>252</v>
      </c>
      <c r="B35" s="71" t="s">
        <v>253</v>
      </c>
      <c r="C35" s="65">
        <v>0.42</v>
      </c>
      <c r="D35" s="65">
        <v>0.69</v>
      </c>
      <c r="E35" s="65">
        <v>0.69</v>
      </c>
      <c r="F35" s="65"/>
      <c r="G35" s="65"/>
      <c r="H35" s="65"/>
      <c r="I35" s="65"/>
      <c r="J35" s="65"/>
      <c r="K35" s="67">
        <f t="shared" si="1"/>
        <v>0.6</v>
      </c>
    </row>
    <row r="36" spans="1:11" x14ac:dyDescent="0.3">
      <c r="A36" s="71" t="s">
        <v>257</v>
      </c>
      <c r="B36" s="71" t="s">
        <v>258</v>
      </c>
      <c r="C36" s="65">
        <v>0.42</v>
      </c>
      <c r="D36" s="65">
        <v>0.9</v>
      </c>
      <c r="E36" s="65">
        <v>0.89</v>
      </c>
      <c r="F36" s="65"/>
      <c r="G36" s="65"/>
      <c r="H36" s="65"/>
      <c r="I36" s="65"/>
      <c r="J36" s="65"/>
      <c r="K36" s="67">
        <f t="shared" si="1"/>
        <v>0.73666666666666669</v>
      </c>
    </row>
    <row r="37" spans="1:11" x14ac:dyDescent="0.3">
      <c r="A37" s="71" t="s">
        <v>262</v>
      </c>
      <c r="B37" s="71" t="s">
        <v>263</v>
      </c>
      <c r="C37" s="65">
        <v>0.4</v>
      </c>
      <c r="D37" s="65">
        <v>0.65</v>
      </c>
      <c r="E37" s="65">
        <v>0.89</v>
      </c>
      <c r="F37" s="65"/>
      <c r="G37" s="65"/>
      <c r="H37" s="65"/>
      <c r="I37" s="65"/>
      <c r="J37" s="65"/>
      <c r="K37" s="67">
        <f t="shared" si="1"/>
        <v>0.64666666666666661</v>
      </c>
    </row>
    <row r="38" spans="1:11" ht="15.6" customHeight="1" x14ac:dyDescent="0.3">
      <c r="A38" s="71" t="s">
        <v>268</v>
      </c>
      <c r="B38" s="71" t="s">
        <v>269</v>
      </c>
      <c r="C38" s="65"/>
      <c r="D38" s="65"/>
      <c r="E38" s="65">
        <v>0.89</v>
      </c>
      <c r="F38" s="65">
        <v>1.46</v>
      </c>
      <c r="G38" s="65"/>
      <c r="H38" s="65">
        <v>2.75</v>
      </c>
      <c r="I38" s="65"/>
      <c r="J38" s="65"/>
      <c r="K38" s="67">
        <f t="shared" si="1"/>
        <v>1.7</v>
      </c>
    </row>
    <row r="39" spans="1:11" x14ac:dyDescent="0.3">
      <c r="A39" s="71" t="s">
        <v>273</v>
      </c>
      <c r="B39" s="71" t="s">
        <v>274</v>
      </c>
      <c r="C39" s="65">
        <v>0.42</v>
      </c>
      <c r="D39" s="65">
        <v>0.65</v>
      </c>
      <c r="E39" s="65">
        <v>0.89</v>
      </c>
      <c r="F39" s="65"/>
      <c r="G39" s="65"/>
      <c r="H39" s="65"/>
      <c r="I39" s="65"/>
      <c r="J39" s="65"/>
      <c r="K39" s="67">
        <f t="shared" si="1"/>
        <v>0.65333333333333332</v>
      </c>
    </row>
    <row r="40" spans="1:11" x14ac:dyDescent="0.3">
      <c r="A40" s="71" t="s">
        <v>279</v>
      </c>
      <c r="B40" s="71" t="s">
        <v>280</v>
      </c>
      <c r="C40" s="65">
        <v>0.42</v>
      </c>
      <c r="D40" s="65">
        <v>0.65</v>
      </c>
      <c r="E40" s="65">
        <v>0.89</v>
      </c>
      <c r="F40" s="65"/>
      <c r="G40" s="65"/>
      <c r="H40" s="65"/>
      <c r="I40" s="65"/>
      <c r="J40" s="65"/>
      <c r="K40" s="67">
        <f t="shared" si="1"/>
        <v>0.65333333333333332</v>
      </c>
    </row>
    <row r="43" spans="1:11" x14ac:dyDescent="0.3">
      <c r="A43" s="14" t="s">
        <v>318</v>
      </c>
      <c r="B43" s="19" t="s">
        <v>327</v>
      </c>
    </row>
    <row r="44" spans="1:11" x14ac:dyDescent="0.3">
      <c r="A44" s="17" t="s">
        <v>319</v>
      </c>
      <c r="B44" s="19" t="s">
        <v>326</v>
      </c>
    </row>
    <row r="45" spans="1:11" x14ac:dyDescent="0.3">
      <c r="A45" s="15" t="s">
        <v>320</v>
      </c>
      <c r="B45" s="19" t="s">
        <v>328</v>
      </c>
    </row>
    <row r="46" spans="1:11" x14ac:dyDescent="0.3">
      <c r="A46" s="17" t="s">
        <v>325</v>
      </c>
      <c r="B46" s="19" t="s">
        <v>331</v>
      </c>
    </row>
    <row r="47" spans="1:11" x14ac:dyDescent="0.3">
      <c r="A47" s="16" t="s">
        <v>322</v>
      </c>
      <c r="B47" s="19" t="s">
        <v>332</v>
      </c>
    </row>
    <row r="48" spans="1:11" x14ac:dyDescent="0.3">
      <c r="A48" s="18" t="s">
        <v>323</v>
      </c>
      <c r="B48" s="19" t="s">
        <v>333</v>
      </c>
    </row>
    <row r="49" spans="1:2" x14ac:dyDescent="0.3">
      <c r="A49" s="15" t="s">
        <v>330</v>
      </c>
      <c r="B49" s="19" t="s">
        <v>329</v>
      </c>
    </row>
    <row r="50" spans="1:2" x14ac:dyDescent="0.3">
      <c r="A50" s="17" t="s">
        <v>334</v>
      </c>
      <c r="B50" s="19" t="s">
        <v>335</v>
      </c>
    </row>
    <row r="51" spans="1:2" x14ac:dyDescent="0.3">
      <c r="A51" s="15" t="s">
        <v>337</v>
      </c>
      <c r="B51" s="19" t="s">
        <v>336</v>
      </c>
    </row>
    <row r="53" spans="1:2" x14ac:dyDescent="0.3">
      <c r="A53" s="76" t="s">
        <v>36</v>
      </c>
      <c r="B53" s="76" t="s">
        <v>340</v>
      </c>
    </row>
    <row r="54" spans="1:2" x14ac:dyDescent="0.3">
      <c r="A54" s="76" t="s">
        <v>102</v>
      </c>
      <c r="B54" s="76" t="s">
        <v>341</v>
      </c>
    </row>
    <row r="55" spans="1:2" x14ac:dyDescent="0.3">
      <c r="A55" s="76" t="s">
        <v>228</v>
      </c>
      <c r="B55" s="76" t="s">
        <v>342</v>
      </c>
    </row>
  </sheetData>
  <mergeCells count="1">
    <mergeCell ref="A1:B1"/>
  </mergeCells>
  <hyperlinks>
    <hyperlink ref="B44" r:id="rId1" xr:uid="{78C31DE0-938F-4AF5-9C96-95801F816BA3}"/>
    <hyperlink ref="B43" r:id="rId2" xr:uid="{28CABEF8-7D49-4EFC-970F-966AD9706F4B}"/>
    <hyperlink ref="B45" r:id="rId3" xr:uid="{A8A4BC23-2390-42BD-BCB0-CCCA14D6947C}"/>
    <hyperlink ref="B49" r:id="rId4" xr:uid="{E1291C7E-1589-4E6E-BCF0-EB95E9D2D486}"/>
    <hyperlink ref="B46" r:id="rId5" xr:uid="{D8B21915-61D0-4609-9584-C36C1787677C}"/>
    <hyperlink ref="B47" r:id="rId6" xr:uid="{BE2CF9B4-A34E-458B-80CA-D79F3C1A7915}"/>
    <hyperlink ref="B48" r:id="rId7" xr:uid="{0724362E-1AD7-4554-8404-A5763BAAD695}"/>
    <hyperlink ref="B50" r:id="rId8" xr:uid="{3E8AC45E-C158-40B3-A4D1-315A3014108C}"/>
    <hyperlink ref="B51" r:id="rId9" xr:uid="{E83D79B4-23D7-4F58-9E9B-A761A56CB5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>
      <selection activeCell="A42" sqref="A42:B42"/>
    </sheetView>
  </sheetViews>
  <sheetFormatPr baseColWidth="10" defaultColWidth="8.88671875" defaultRowHeight="14.4" x14ac:dyDescent="0.3"/>
  <cols>
    <col min="1" max="1" width="13" customWidth="1"/>
    <col min="2" max="2" width="55" customWidth="1"/>
  </cols>
  <sheetData>
    <row r="1" spans="1:2" ht="24" customHeight="1" x14ac:dyDescent="0.3">
      <c r="A1" s="25" t="s">
        <v>284</v>
      </c>
      <c r="B1" s="23"/>
    </row>
    <row r="3" spans="1:2" ht="20.100000000000001" customHeight="1" x14ac:dyDescent="0.3">
      <c r="A3" s="26" t="s">
        <v>285</v>
      </c>
      <c r="B3" s="23"/>
    </row>
    <row r="4" spans="1:2" ht="15.9" customHeight="1" x14ac:dyDescent="0.3">
      <c r="A4" s="10" t="s">
        <v>26</v>
      </c>
      <c r="B4" s="11" t="s">
        <v>27</v>
      </c>
    </row>
    <row r="5" spans="1:2" ht="15.9" customHeight="1" x14ac:dyDescent="0.3">
      <c r="A5" s="10" t="s">
        <v>97</v>
      </c>
      <c r="B5" s="11" t="s">
        <v>98</v>
      </c>
    </row>
    <row r="6" spans="1:2" ht="15.9" customHeight="1" x14ac:dyDescent="0.3">
      <c r="A6" s="10" t="s">
        <v>174</v>
      </c>
      <c r="B6" s="11" t="s">
        <v>175</v>
      </c>
    </row>
    <row r="7" spans="1:2" ht="15.9" customHeight="1" x14ac:dyDescent="0.3">
      <c r="A7" s="10" t="s">
        <v>225</v>
      </c>
      <c r="B7" s="11" t="s">
        <v>226</v>
      </c>
    </row>
    <row r="9" spans="1:2" ht="20.100000000000001" customHeight="1" x14ac:dyDescent="0.3">
      <c r="A9" s="26" t="s">
        <v>286</v>
      </c>
      <c r="B9" s="23"/>
    </row>
    <row r="10" spans="1:2" ht="15.9" customHeight="1" x14ac:dyDescent="0.3">
      <c r="A10" s="10" t="s">
        <v>28</v>
      </c>
      <c r="B10" s="11" t="s">
        <v>287</v>
      </c>
    </row>
    <row r="11" spans="1:2" ht="15.9" customHeight="1" x14ac:dyDescent="0.3">
      <c r="A11" s="10" t="s">
        <v>26</v>
      </c>
      <c r="B11" s="11" t="s">
        <v>288</v>
      </c>
    </row>
    <row r="12" spans="1:2" ht="15.9" customHeight="1" x14ac:dyDescent="0.3">
      <c r="A12" s="10" t="s">
        <v>143</v>
      </c>
      <c r="B12" s="11" t="s">
        <v>289</v>
      </c>
    </row>
    <row r="14" spans="1:2" ht="20.100000000000001" customHeight="1" x14ac:dyDescent="0.3">
      <c r="A14" s="26" t="s">
        <v>290</v>
      </c>
      <c r="B14" s="23"/>
    </row>
    <row r="15" spans="1:2" ht="15.9" customHeight="1" x14ac:dyDescent="0.3">
      <c r="A15" s="10" t="s">
        <v>29</v>
      </c>
      <c r="B15" s="11" t="s">
        <v>291</v>
      </c>
    </row>
    <row r="16" spans="1:2" ht="15.9" customHeight="1" x14ac:dyDescent="0.3">
      <c r="A16" s="10" t="s">
        <v>88</v>
      </c>
      <c r="B16" s="11" t="s">
        <v>292</v>
      </c>
    </row>
    <row r="17" spans="1:2" ht="15.9" customHeight="1" x14ac:dyDescent="0.3">
      <c r="A17" s="10" t="s">
        <v>30</v>
      </c>
      <c r="B17" s="11" t="s">
        <v>293</v>
      </c>
    </row>
    <row r="18" spans="1:2" ht="15.9" customHeight="1" x14ac:dyDescent="0.3">
      <c r="A18" s="10" t="s">
        <v>31</v>
      </c>
      <c r="B18" s="11" t="s">
        <v>294</v>
      </c>
    </row>
    <row r="20" spans="1:2" ht="20.100000000000001" customHeight="1" x14ac:dyDescent="0.3">
      <c r="A20" s="26" t="s">
        <v>295</v>
      </c>
      <c r="B20" s="23"/>
    </row>
    <row r="21" spans="1:2" ht="15.9" customHeight="1" x14ac:dyDescent="0.3">
      <c r="A21" s="10" t="s">
        <v>31</v>
      </c>
      <c r="B21" s="11" t="s">
        <v>296</v>
      </c>
    </row>
    <row r="22" spans="1:2" ht="15.9" customHeight="1" x14ac:dyDescent="0.3">
      <c r="A22" s="10" t="s">
        <v>30</v>
      </c>
      <c r="B22" s="11" t="s">
        <v>297</v>
      </c>
    </row>
    <row r="23" spans="1:2" ht="15.9" customHeight="1" x14ac:dyDescent="0.3">
      <c r="A23" s="10" t="s">
        <v>88</v>
      </c>
      <c r="B23" s="11" t="s">
        <v>298</v>
      </c>
    </row>
    <row r="25" spans="1:2" ht="20.100000000000001" customHeight="1" x14ac:dyDescent="0.3">
      <c r="A25" s="26" t="s">
        <v>299</v>
      </c>
      <c r="B25" s="23"/>
    </row>
    <row r="26" spans="1:2" ht="15.9" customHeight="1" x14ac:dyDescent="0.3">
      <c r="A26" s="10" t="s">
        <v>49</v>
      </c>
      <c r="B26" s="11" t="s">
        <v>300</v>
      </c>
    </row>
    <row r="27" spans="1:2" ht="15.9" customHeight="1" x14ac:dyDescent="0.3">
      <c r="A27" s="10" t="s">
        <v>31</v>
      </c>
      <c r="B27" s="11" t="s">
        <v>301</v>
      </c>
    </row>
    <row r="28" spans="1:2" ht="15.9" customHeight="1" x14ac:dyDescent="0.3">
      <c r="A28" s="10" t="s">
        <v>30</v>
      </c>
      <c r="B28" s="11" t="s">
        <v>302</v>
      </c>
    </row>
    <row r="29" spans="1:2" ht="15.9" customHeight="1" x14ac:dyDescent="0.3">
      <c r="A29" s="10" t="s">
        <v>88</v>
      </c>
      <c r="B29" s="11" t="s">
        <v>303</v>
      </c>
    </row>
    <row r="31" spans="1:2" ht="20.100000000000001" customHeight="1" x14ac:dyDescent="0.3">
      <c r="A31" s="26" t="s">
        <v>304</v>
      </c>
      <c r="B31" s="23"/>
    </row>
    <row r="32" spans="1:2" ht="15.9" customHeight="1" x14ac:dyDescent="0.3">
      <c r="A32" s="10" t="s">
        <v>36</v>
      </c>
      <c r="B32" s="11" t="s">
        <v>305</v>
      </c>
    </row>
    <row r="33" spans="1:2" ht="15.9" customHeight="1" x14ac:dyDescent="0.3">
      <c r="A33" s="10" t="s">
        <v>102</v>
      </c>
      <c r="B33" s="11" t="s">
        <v>306</v>
      </c>
    </row>
    <row r="34" spans="1:2" ht="15.9" customHeight="1" x14ac:dyDescent="0.3">
      <c r="A34" s="10" t="s">
        <v>228</v>
      </c>
      <c r="B34" s="11" t="s">
        <v>307</v>
      </c>
    </row>
    <row r="36" spans="1:2" ht="20.100000000000001" customHeight="1" x14ac:dyDescent="0.3">
      <c r="A36" s="26" t="s">
        <v>308</v>
      </c>
      <c r="B36" s="23"/>
    </row>
    <row r="37" spans="1:2" ht="15.9" customHeight="1" x14ac:dyDescent="0.3">
      <c r="A37" s="10" t="s">
        <v>38</v>
      </c>
      <c r="B37" s="11" t="s">
        <v>309</v>
      </c>
    </row>
    <row r="38" spans="1:2" ht="15.9" customHeight="1" x14ac:dyDescent="0.3">
      <c r="A38" s="10" t="s">
        <v>92</v>
      </c>
      <c r="B38" s="11" t="s">
        <v>310</v>
      </c>
    </row>
    <row r="39" spans="1:2" ht="15.9" customHeight="1" x14ac:dyDescent="0.3">
      <c r="A39" s="10" t="s">
        <v>104</v>
      </c>
      <c r="B39" s="11" t="s">
        <v>311</v>
      </c>
    </row>
    <row r="42" spans="1:2" ht="36" customHeight="1" x14ac:dyDescent="0.3">
      <c r="A42" s="27" t="s">
        <v>312</v>
      </c>
      <c r="B42" s="23"/>
    </row>
  </sheetData>
  <mergeCells count="9">
    <mergeCell ref="A42:B42"/>
    <mergeCell ref="A36:B36"/>
    <mergeCell ref="A14:B14"/>
    <mergeCell ref="A1:B1"/>
    <mergeCell ref="A9:B9"/>
    <mergeCell ref="A31:B31"/>
    <mergeCell ref="A3:B3"/>
    <mergeCell ref="A20:B20"/>
    <mergeCell ref="A25: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>
      <pane ySplit="2" topLeftCell="A3" activePane="bottomLeft" state="frozen"/>
      <selection pane="bottomLeft" activeCell="E12" sqref="E12"/>
    </sheetView>
  </sheetViews>
  <sheetFormatPr baseColWidth="10" defaultColWidth="8.88671875" defaultRowHeight="14.4" x14ac:dyDescent="0.3"/>
  <cols>
    <col min="1" max="1" width="7" customWidth="1"/>
    <col min="2" max="2" width="22" customWidth="1"/>
    <col min="3" max="3" width="26" customWidth="1"/>
    <col min="4" max="4" width="16" customWidth="1"/>
    <col min="5" max="5" width="14" customWidth="1"/>
    <col min="6" max="7" width="8" customWidth="1"/>
    <col min="8" max="8" width="12" customWidth="1"/>
  </cols>
  <sheetData>
    <row r="1" spans="1:8" ht="21.9" customHeight="1" x14ac:dyDescent="0.3">
      <c r="A1" s="29" t="s">
        <v>313</v>
      </c>
      <c r="B1" s="22"/>
      <c r="C1" s="22"/>
      <c r="D1" s="22"/>
      <c r="E1" s="22"/>
      <c r="F1" s="22"/>
      <c r="G1" s="22"/>
      <c r="H1" s="23"/>
    </row>
    <row r="2" spans="1:8" ht="32.1" customHeight="1" x14ac:dyDescent="0.3">
      <c r="A2" s="12" t="s">
        <v>1</v>
      </c>
      <c r="B2" s="12" t="s">
        <v>2</v>
      </c>
      <c r="C2" s="12" t="s">
        <v>3</v>
      </c>
      <c r="D2" s="12" t="s">
        <v>5</v>
      </c>
      <c r="E2" s="12" t="s">
        <v>314</v>
      </c>
      <c r="F2" s="12" t="s">
        <v>20</v>
      </c>
      <c r="G2" s="12" t="s">
        <v>18</v>
      </c>
      <c r="H2" s="12" t="s">
        <v>315</v>
      </c>
    </row>
    <row r="3" spans="1:8" ht="15" customHeight="1" x14ac:dyDescent="0.3">
      <c r="A3" s="3" t="s">
        <v>23</v>
      </c>
      <c r="B3" s="2" t="s">
        <v>24</v>
      </c>
      <c r="C3" s="2" t="s">
        <v>25</v>
      </c>
      <c r="D3" s="3" t="s">
        <v>27</v>
      </c>
      <c r="E3" s="3" t="s">
        <v>38</v>
      </c>
      <c r="F3" s="3">
        <v>3</v>
      </c>
      <c r="G3" s="3" t="s">
        <v>36</v>
      </c>
      <c r="H3" s="2" t="s">
        <v>37</v>
      </c>
    </row>
    <row r="4" spans="1:8" ht="15" customHeight="1" x14ac:dyDescent="0.3">
      <c r="A4" s="3" t="s">
        <v>40</v>
      </c>
      <c r="B4" s="2" t="s">
        <v>41</v>
      </c>
      <c r="C4" s="2" t="s">
        <v>42</v>
      </c>
      <c r="D4" s="3" t="s">
        <v>27</v>
      </c>
      <c r="E4" s="3" t="s">
        <v>38</v>
      </c>
      <c r="F4" s="3">
        <v>3</v>
      </c>
      <c r="G4" s="3" t="s">
        <v>36</v>
      </c>
      <c r="H4" s="2" t="s">
        <v>44</v>
      </c>
    </row>
    <row r="5" spans="1:8" ht="15" customHeight="1" x14ac:dyDescent="0.3">
      <c r="A5" s="3" t="s">
        <v>46</v>
      </c>
      <c r="B5" s="2" t="s">
        <v>47</v>
      </c>
      <c r="C5" s="2" t="s">
        <v>48</v>
      </c>
      <c r="D5" s="3" t="s">
        <v>27</v>
      </c>
      <c r="E5" s="3" t="s">
        <v>38</v>
      </c>
      <c r="F5" s="3">
        <v>3</v>
      </c>
      <c r="G5" s="3" t="s">
        <v>36</v>
      </c>
      <c r="H5" s="2" t="s">
        <v>37</v>
      </c>
    </row>
    <row r="6" spans="1:8" ht="15" customHeight="1" x14ac:dyDescent="0.3">
      <c r="A6" s="3" t="s">
        <v>53</v>
      </c>
      <c r="B6" s="2" t="s">
        <v>54</v>
      </c>
      <c r="C6" s="2" t="s">
        <v>55</v>
      </c>
      <c r="D6" s="3" t="s">
        <v>27</v>
      </c>
      <c r="E6" s="3" t="s">
        <v>38</v>
      </c>
      <c r="F6" s="3">
        <v>3</v>
      </c>
      <c r="G6" s="3" t="s">
        <v>36</v>
      </c>
      <c r="H6" s="2" t="s">
        <v>59</v>
      </c>
    </row>
    <row r="7" spans="1:8" ht="15" customHeight="1" x14ac:dyDescent="0.3">
      <c r="A7" s="3" t="s">
        <v>61</v>
      </c>
      <c r="B7" s="2" t="s">
        <v>62</v>
      </c>
      <c r="C7" s="2" t="s">
        <v>63</v>
      </c>
      <c r="D7" s="3" t="s">
        <v>27</v>
      </c>
      <c r="E7" s="3" t="s">
        <v>38</v>
      </c>
      <c r="F7" s="3">
        <v>3</v>
      </c>
      <c r="G7" s="3" t="s">
        <v>36</v>
      </c>
      <c r="H7" s="2" t="s">
        <v>66</v>
      </c>
    </row>
    <row r="8" spans="1:8" ht="15" customHeight="1" x14ac:dyDescent="0.3">
      <c r="A8" s="3" t="s">
        <v>68</v>
      </c>
      <c r="B8" s="2" t="s">
        <v>69</v>
      </c>
      <c r="C8" s="2" t="s">
        <v>70</v>
      </c>
      <c r="D8" s="3" t="s">
        <v>27</v>
      </c>
      <c r="E8" s="3" t="s">
        <v>38</v>
      </c>
      <c r="F8" s="3">
        <v>3</v>
      </c>
      <c r="G8" s="3" t="s">
        <v>36</v>
      </c>
      <c r="H8" s="2" t="s">
        <v>66</v>
      </c>
    </row>
    <row r="9" spans="1:8" ht="15" customHeight="1" x14ac:dyDescent="0.3">
      <c r="A9" s="3" t="s">
        <v>74</v>
      </c>
      <c r="B9" s="2" t="s">
        <v>75</v>
      </c>
      <c r="C9" s="2" t="s">
        <v>76</v>
      </c>
      <c r="D9" s="3" t="s">
        <v>27</v>
      </c>
      <c r="E9" s="3" t="s">
        <v>38</v>
      </c>
      <c r="F9" s="3">
        <v>3</v>
      </c>
      <c r="G9" s="3" t="s">
        <v>36</v>
      </c>
      <c r="H9" s="2" t="s">
        <v>37</v>
      </c>
    </row>
    <row r="10" spans="1:8" ht="15" customHeight="1" x14ac:dyDescent="0.3">
      <c r="A10" s="3" t="s">
        <v>80</v>
      </c>
      <c r="B10" s="2" t="s">
        <v>81</v>
      </c>
      <c r="C10" s="2" t="s">
        <v>82</v>
      </c>
      <c r="D10" s="3" t="s">
        <v>27</v>
      </c>
      <c r="E10" s="3" t="s">
        <v>38</v>
      </c>
      <c r="F10" s="3">
        <v>3</v>
      </c>
      <c r="G10" s="3" t="s">
        <v>36</v>
      </c>
      <c r="H10" s="2" t="s">
        <v>44</v>
      </c>
    </row>
    <row r="11" spans="1:8" ht="15" customHeight="1" x14ac:dyDescent="0.3">
      <c r="A11" s="3" t="s">
        <v>85</v>
      </c>
      <c r="B11" s="2" t="s">
        <v>86</v>
      </c>
      <c r="C11" s="2" t="s">
        <v>87</v>
      </c>
      <c r="D11" s="3" t="s">
        <v>27</v>
      </c>
      <c r="E11" s="3" t="s">
        <v>92</v>
      </c>
      <c r="F11" s="3">
        <v>3</v>
      </c>
      <c r="G11" s="3" t="s">
        <v>36</v>
      </c>
      <c r="H11" s="2" t="s">
        <v>91</v>
      </c>
    </row>
    <row r="12" spans="1:8" ht="15" customHeight="1" x14ac:dyDescent="0.3">
      <c r="A12" s="5" t="s">
        <v>94</v>
      </c>
      <c r="B12" s="4" t="s">
        <v>95</v>
      </c>
      <c r="C12" s="4" t="s">
        <v>96</v>
      </c>
      <c r="D12" s="5" t="s">
        <v>98</v>
      </c>
      <c r="E12" s="5" t="s">
        <v>104</v>
      </c>
      <c r="F12" s="5">
        <v>2</v>
      </c>
      <c r="G12" s="5" t="s">
        <v>102</v>
      </c>
      <c r="H12" s="4" t="s">
        <v>103</v>
      </c>
    </row>
    <row r="13" spans="1:8" ht="15" customHeight="1" x14ac:dyDescent="0.3">
      <c r="A13" s="5" t="s">
        <v>106</v>
      </c>
      <c r="B13" s="4" t="s">
        <v>107</v>
      </c>
      <c r="C13" s="4" t="s">
        <v>108</v>
      </c>
      <c r="D13" s="5" t="s">
        <v>98</v>
      </c>
      <c r="E13" s="5" t="s">
        <v>104</v>
      </c>
      <c r="F13" s="5">
        <v>2</v>
      </c>
      <c r="G13" s="5" t="s">
        <v>102</v>
      </c>
      <c r="H13" s="4" t="s">
        <v>111</v>
      </c>
    </row>
    <row r="14" spans="1:8" ht="15" customHeight="1" x14ac:dyDescent="0.3">
      <c r="A14" s="5" t="s">
        <v>113</v>
      </c>
      <c r="B14" s="4" t="s">
        <v>114</v>
      </c>
      <c r="C14" s="4" t="s">
        <v>115</v>
      </c>
      <c r="D14" s="5" t="s">
        <v>98</v>
      </c>
      <c r="E14" s="5" t="s">
        <v>104</v>
      </c>
      <c r="F14" s="5">
        <v>2</v>
      </c>
      <c r="G14" s="5" t="s">
        <v>102</v>
      </c>
      <c r="H14" s="4" t="s">
        <v>119</v>
      </c>
    </row>
    <row r="15" spans="1:8" ht="15" customHeight="1" x14ac:dyDescent="0.3">
      <c r="A15" s="5" t="s">
        <v>121</v>
      </c>
      <c r="B15" s="4" t="s">
        <v>122</v>
      </c>
      <c r="C15" s="4" t="s">
        <v>123</v>
      </c>
      <c r="D15" s="5" t="s">
        <v>98</v>
      </c>
      <c r="E15" s="5" t="s">
        <v>92</v>
      </c>
      <c r="F15" s="5">
        <v>2</v>
      </c>
      <c r="G15" s="5" t="s">
        <v>36</v>
      </c>
      <c r="H15" s="4" t="s">
        <v>125</v>
      </c>
    </row>
    <row r="16" spans="1:8" ht="15" customHeight="1" x14ac:dyDescent="0.3">
      <c r="A16" s="5" t="s">
        <v>127</v>
      </c>
      <c r="B16" s="4" t="s">
        <v>128</v>
      </c>
      <c r="C16" s="4" t="s">
        <v>129</v>
      </c>
      <c r="D16" s="5" t="s">
        <v>98</v>
      </c>
      <c r="E16" s="5" t="s">
        <v>104</v>
      </c>
      <c r="F16" s="5">
        <v>2</v>
      </c>
      <c r="G16" s="5" t="s">
        <v>102</v>
      </c>
      <c r="H16" s="4" t="s">
        <v>133</v>
      </c>
    </row>
    <row r="17" spans="1:8" ht="15" customHeight="1" x14ac:dyDescent="0.3">
      <c r="A17" s="5" t="s">
        <v>135</v>
      </c>
      <c r="B17" s="4" t="s">
        <v>136</v>
      </c>
      <c r="C17" s="4" t="s">
        <v>137</v>
      </c>
      <c r="D17" s="5" t="s">
        <v>98</v>
      </c>
      <c r="E17" s="5" t="s">
        <v>104</v>
      </c>
      <c r="F17" s="5">
        <v>2</v>
      </c>
      <c r="G17" s="5" t="s">
        <v>102</v>
      </c>
      <c r="H17" s="4" t="s">
        <v>111</v>
      </c>
    </row>
    <row r="18" spans="1:8" ht="15" customHeight="1" x14ac:dyDescent="0.3">
      <c r="A18" s="5" t="s">
        <v>140</v>
      </c>
      <c r="B18" s="4" t="s">
        <v>141</v>
      </c>
      <c r="C18" s="4" t="s">
        <v>142</v>
      </c>
      <c r="D18" s="5" t="s">
        <v>98</v>
      </c>
      <c r="E18" s="5" t="s">
        <v>104</v>
      </c>
      <c r="F18" s="5">
        <v>2</v>
      </c>
      <c r="G18" s="5" t="s">
        <v>36</v>
      </c>
      <c r="H18" s="4" t="s">
        <v>145</v>
      </c>
    </row>
    <row r="19" spans="1:8" ht="15" customHeight="1" x14ac:dyDescent="0.3">
      <c r="A19" s="5" t="s">
        <v>147</v>
      </c>
      <c r="B19" s="4" t="s">
        <v>148</v>
      </c>
      <c r="C19" s="4" t="s">
        <v>149</v>
      </c>
      <c r="D19" s="5" t="s">
        <v>98</v>
      </c>
      <c r="E19" s="5" t="s">
        <v>104</v>
      </c>
      <c r="F19" s="5">
        <v>2</v>
      </c>
      <c r="G19" s="5" t="s">
        <v>36</v>
      </c>
      <c r="H19" s="4" t="s">
        <v>91</v>
      </c>
    </row>
    <row r="20" spans="1:8" ht="15" customHeight="1" x14ac:dyDescent="0.3">
      <c r="A20" s="5" t="s">
        <v>153</v>
      </c>
      <c r="B20" s="4" t="s">
        <v>154</v>
      </c>
      <c r="C20" s="4" t="s">
        <v>155</v>
      </c>
      <c r="D20" s="5" t="s">
        <v>98</v>
      </c>
      <c r="E20" s="5" t="s">
        <v>92</v>
      </c>
      <c r="F20" s="5">
        <v>2</v>
      </c>
      <c r="G20" s="5" t="s">
        <v>36</v>
      </c>
      <c r="H20" s="4" t="s">
        <v>125</v>
      </c>
    </row>
    <row r="21" spans="1:8" ht="15" customHeight="1" x14ac:dyDescent="0.3">
      <c r="A21" s="5" t="s">
        <v>158</v>
      </c>
      <c r="B21" s="4" t="s">
        <v>159</v>
      </c>
      <c r="C21" s="4" t="s">
        <v>160</v>
      </c>
      <c r="D21" s="5" t="s">
        <v>98</v>
      </c>
      <c r="E21" s="5" t="s">
        <v>92</v>
      </c>
      <c r="F21" s="5">
        <v>2</v>
      </c>
      <c r="G21" s="5" t="s">
        <v>36</v>
      </c>
      <c r="H21" s="4" t="s">
        <v>125</v>
      </c>
    </row>
    <row r="22" spans="1:8" ht="15" customHeight="1" x14ac:dyDescent="0.3">
      <c r="A22" s="5" t="s">
        <v>164</v>
      </c>
      <c r="B22" s="4" t="s">
        <v>165</v>
      </c>
      <c r="C22" s="4" t="s">
        <v>166</v>
      </c>
      <c r="D22" s="5" t="s">
        <v>98</v>
      </c>
      <c r="E22" s="5" t="s">
        <v>104</v>
      </c>
      <c r="F22" s="5">
        <v>2</v>
      </c>
      <c r="G22" s="5" t="s">
        <v>102</v>
      </c>
      <c r="H22" s="4" t="s">
        <v>169</v>
      </c>
    </row>
    <row r="23" spans="1:8" ht="15" customHeight="1" x14ac:dyDescent="0.3">
      <c r="A23" s="7" t="s">
        <v>171</v>
      </c>
      <c r="B23" s="6" t="s">
        <v>172</v>
      </c>
      <c r="C23" s="6" t="s">
        <v>173</v>
      </c>
      <c r="D23" s="7" t="s">
        <v>175</v>
      </c>
      <c r="E23" s="7" t="s">
        <v>104</v>
      </c>
      <c r="F23" s="7">
        <v>2</v>
      </c>
      <c r="G23" s="7" t="s">
        <v>102</v>
      </c>
      <c r="H23" s="6" t="s">
        <v>177</v>
      </c>
    </row>
    <row r="24" spans="1:8" ht="15" customHeight="1" x14ac:dyDescent="0.3">
      <c r="A24" s="7" t="s">
        <v>179</v>
      </c>
      <c r="B24" s="6" t="s">
        <v>180</v>
      </c>
      <c r="C24" s="6" t="s">
        <v>181</v>
      </c>
      <c r="D24" s="7" t="s">
        <v>175</v>
      </c>
      <c r="E24" s="7" t="s">
        <v>104</v>
      </c>
      <c r="F24" s="7">
        <v>2</v>
      </c>
      <c r="G24" s="7" t="s">
        <v>102</v>
      </c>
      <c r="H24" s="6" t="s">
        <v>183</v>
      </c>
    </row>
    <row r="25" spans="1:8" ht="15" customHeight="1" x14ac:dyDescent="0.3">
      <c r="A25" s="7" t="s">
        <v>185</v>
      </c>
      <c r="B25" s="6" t="s">
        <v>186</v>
      </c>
      <c r="C25" s="6" t="s">
        <v>187</v>
      </c>
      <c r="D25" s="7" t="s">
        <v>175</v>
      </c>
      <c r="E25" s="7" t="s">
        <v>104</v>
      </c>
      <c r="F25" s="7">
        <v>2</v>
      </c>
      <c r="G25" s="7" t="s">
        <v>102</v>
      </c>
      <c r="H25" s="6" t="s">
        <v>189</v>
      </c>
    </row>
    <row r="26" spans="1:8" ht="15" customHeight="1" x14ac:dyDescent="0.3">
      <c r="A26" s="7" t="s">
        <v>191</v>
      </c>
      <c r="B26" s="6" t="s">
        <v>192</v>
      </c>
      <c r="C26" s="6" t="s">
        <v>193</v>
      </c>
      <c r="D26" s="7" t="s">
        <v>175</v>
      </c>
      <c r="E26" s="7" t="s">
        <v>92</v>
      </c>
      <c r="F26" s="7">
        <v>2</v>
      </c>
      <c r="G26" s="7" t="s">
        <v>36</v>
      </c>
      <c r="H26" s="6" t="s">
        <v>125</v>
      </c>
    </row>
    <row r="27" spans="1:8" ht="15" customHeight="1" x14ac:dyDescent="0.3">
      <c r="A27" s="7" t="s">
        <v>196</v>
      </c>
      <c r="B27" s="6" t="s">
        <v>197</v>
      </c>
      <c r="C27" s="6" t="s">
        <v>198</v>
      </c>
      <c r="D27" s="7" t="s">
        <v>175</v>
      </c>
      <c r="E27" s="7" t="s">
        <v>104</v>
      </c>
      <c r="F27" s="7">
        <v>2</v>
      </c>
      <c r="G27" s="7" t="s">
        <v>102</v>
      </c>
      <c r="H27" s="6" t="s">
        <v>201</v>
      </c>
    </row>
    <row r="28" spans="1:8" ht="15" customHeight="1" x14ac:dyDescent="0.3">
      <c r="A28" s="7" t="s">
        <v>203</v>
      </c>
      <c r="B28" s="6" t="s">
        <v>204</v>
      </c>
      <c r="C28" s="6" t="s">
        <v>205</v>
      </c>
      <c r="D28" s="7" t="s">
        <v>175</v>
      </c>
      <c r="E28" s="7" t="s">
        <v>104</v>
      </c>
      <c r="F28" s="7">
        <v>2</v>
      </c>
      <c r="G28" s="7" t="s">
        <v>102</v>
      </c>
      <c r="H28" s="6" t="s">
        <v>189</v>
      </c>
    </row>
    <row r="29" spans="1:8" ht="15" customHeight="1" x14ac:dyDescent="0.3">
      <c r="A29" s="7" t="s">
        <v>209</v>
      </c>
      <c r="B29" s="6" t="s">
        <v>210</v>
      </c>
      <c r="C29" s="6" t="s">
        <v>211</v>
      </c>
      <c r="D29" s="7" t="s">
        <v>175</v>
      </c>
      <c r="E29" s="7" t="s">
        <v>104</v>
      </c>
      <c r="F29" s="7">
        <v>2</v>
      </c>
      <c r="G29" s="7" t="s">
        <v>102</v>
      </c>
      <c r="H29" s="6" t="s">
        <v>213</v>
      </c>
    </row>
    <row r="30" spans="1:8" ht="15" customHeight="1" x14ac:dyDescent="0.3">
      <c r="A30" s="7" t="s">
        <v>215</v>
      </c>
      <c r="B30" s="6" t="s">
        <v>216</v>
      </c>
      <c r="C30" s="6" t="s">
        <v>217</v>
      </c>
      <c r="D30" s="7" t="s">
        <v>175</v>
      </c>
      <c r="E30" s="7" t="s">
        <v>104</v>
      </c>
      <c r="F30" s="7">
        <v>2</v>
      </c>
      <c r="G30" s="7" t="s">
        <v>36</v>
      </c>
      <c r="H30" s="6" t="s">
        <v>220</v>
      </c>
    </row>
    <row r="31" spans="1:8" ht="15" customHeight="1" x14ac:dyDescent="0.3">
      <c r="A31" s="9" t="s">
        <v>222</v>
      </c>
      <c r="B31" s="8" t="s">
        <v>223</v>
      </c>
      <c r="C31" s="8" t="s">
        <v>224</v>
      </c>
      <c r="D31" s="9" t="s">
        <v>226</v>
      </c>
      <c r="E31" s="9" t="s">
        <v>104</v>
      </c>
      <c r="F31" s="9">
        <v>1</v>
      </c>
      <c r="G31" s="9" t="s">
        <v>228</v>
      </c>
      <c r="H31" s="8" t="s">
        <v>229</v>
      </c>
    </row>
    <row r="32" spans="1:8" ht="15" customHeight="1" x14ac:dyDescent="0.3">
      <c r="A32" s="9" t="s">
        <v>231</v>
      </c>
      <c r="B32" s="8" t="s">
        <v>232</v>
      </c>
      <c r="C32" s="8" t="s">
        <v>233</v>
      </c>
      <c r="D32" s="9" t="s">
        <v>226</v>
      </c>
      <c r="E32" s="9" t="s">
        <v>104</v>
      </c>
      <c r="F32" s="9">
        <v>1</v>
      </c>
      <c r="G32" s="9" t="s">
        <v>228</v>
      </c>
      <c r="H32" s="8" t="s">
        <v>183</v>
      </c>
    </row>
    <row r="33" spans="1:8" ht="15" customHeight="1" x14ac:dyDescent="0.3">
      <c r="A33" s="9" t="s">
        <v>235</v>
      </c>
      <c r="B33" s="8" t="s">
        <v>236</v>
      </c>
      <c r="C33" s="8" t="s">
        <v>237</v>
      </c>
      <c r="D33" s="9" t="s">
        <v>226</v>
      </c>
      <c r="E33" s="9" t="s">
        <v>104</v>
      </c>
      <c r="F33" s="9">
        <v>1</v>
      </c>
      <c r="G33" s="9" t="s">
        <v>228</v>
      </c>
      <c r="H33" s="8" t="s">
        <v>213</v>
      </c>
    </row>
    <row r="34" spans="1:8" ht="15" customHeight="1" x14ac:dyDescent="0.3">
      <c r="A34" s="9" t="s">
        <v>239</v>
      </c>
      <c r="B34" s="8" t="s">
        <v>240</v>
      </c>
      <c r="C34" s="8" t="s">
        <v>241</v>
      </c>
      <c r="D34" s="9" t="s">
        <v>226</v>
      </c>
      <c r="E34" s="9" t="s">
        <v>104</v>
      </c>
      <c r="F34" s="9">
        <v>1</v>
      </c>
      <c r="G34" s="9" t="s">
        <v>102</v>
      </c>
      <c r="H34" s="8" t="s">
        <v>220</v>
      </c>
    </row>
    <row r="35" spans="1:8" ht="15" customHeight="1" x14ac:dyDescent="0.3">
      <c r="A35" s="9" t="s">
        <v>245</v>
      </c>
      <c r="B35" s="8" t="s">
        <v>246</v>
      </c>
      <c r="C35" s="8" t="s">
        <v>247</v>
      </c>
      <c r="D35" s="9" t="s">
        <v>226</v>
      </c>
      <c r="E35" s="9" t="s">
        <v>104</v>
      </c>
      <c r="F35" s="9">
        <v>1</v>
      </c>
      <c r="G35" s="9" t="s">
        <v>36</v>
      </c>
      <c r="H35" s="8" t="s">
        <v>249</v>
      </c>
    </row>
    <row r="36" spans="1:8" ht="15" customHeight="1" x14ac:dyDescent="0.3">
      <c r="A36" s="9" t="s">
        <v>251</v>
      </c>
      <c r="B36" s="8" t="s">
        <v>252</v>
      </c>
      <c r="C36" s="8" t="s">
        <v>253</v>
      </c>
      <c r="D36" s="9" t="s">
        <v>226</v>
      </c>
      <c r="E36" s="9" t="s">
        <v>104</v>
      </c>
      <c r="F36" s="9">
        <v>1</v>
      </c>
      <c r="G36" s="9" t="s">
        <v>102</v>
      </c>
      <c r="H36" s="8" t="s">
        <v>183</v>
      </c>
    </row>
    <row r="37" spans="1:8" ht="15" customHeight="1" x14ac:dyDescent="0.3">
      <c r="A37" s="9" t="s">
        <v>256</v>
      </c>
      <c r="B37" s="8" t="s">
        <v>257</v>
      </c>
      <c r="C37" s="8" t="s">
        <v>258</v>
      </c>
      <c r="D37" s="9" t="s">
        <v>226</v>
      </c>
      <c r="E37" s="9" t="s">
        <v>104</v>
      </c>
      <c r="F37" s="9">
        <v>1</v>
      </c>
      <c r="G37" s="9" t="s">
        <v>102</v>
      </c>
      <c r="H37" s="8" t="s">
        <v>229</v>
      </c>
    </row>
    <row r="38" spans="1:8" ht="15" customHeight="1" x14ac:dyDescent="0.3">
      <c r="A38" s="9" t="s">
        <v>261</v>
      </c>
      <c r="B38" s="8" t="s">
        <v>262</v>
      </c>
      <c r="C38" s="8" t="s">
        <v>263</v>
      </c>
      <c r="D38" s="9" t="s">
        <v>226</v>
      </c>
      <c r="E38" s="9" t="s">
        <v>104</v>
      </c>
      <c r="F38" s="9">
        <v>1</v>
      </c>
      <c r="G38" s="9" t="s">
        <v>102</v>
      </c>
      <c r="H38" s="8" t="s">
        <v>183</v>
      </c>
    </row>
    <row r="39" spans="1:8" ht="15" customHeight="1" x14ac:dyDescent="0.3">
      <c r="A39" s="9" t="s">
        <v>267</v>
      </c>
      <c r="B39" s="8" t="s">
        <v>268</v>
      </c>
      <c r="C39" s="8" t="s">
        <v>269</v>
      </c>
      <c r="D39" s="9" t="s">
        <v>226</v>
      </c>
      <c r="E39" s="9" t="s">
        <v>104</v>
      </c>
      <c r="F39" s="9">
        <v>1</v>
      </c>
      <c r="G39" s="9" t="s">
        <v>102</v>
      </c>
      <c r="H39" s="8" t="s">
        <v>183</v>
      </c>
    </row>
    <row r="40" spans="1:8" ht="15" customHeight="1" x14ac:dyDescent="0.3">
      <c r="A40" s="9" t="s">
        <v>272</v>
      </c>
      <c r="B40" s="8" t="s">
        <v>273</v>
      </c>
      <c r="C40" s="8" t="s">
        <v>274</v>
      </c>
      <c r="D40" s="9" t="s">
        <v>226</v>
      </c>
      <c r="E40" s="9" t="s">
        <v>104</v>
      </c>
      <c r="F40" s="9">
        <v>1</v>
      </c>
      <c r="G40" s="9" t="s">
        <v>102</v>
      </c>
      <c r="H40" s="8" t="s">
        <v>276</v>
      </c>
    </row>
    <row r="41" spans="1:8" ht="15" customHeight="1" x14ac:dyDescent="0.3">
      <c r="A41" s="9" t="s">
        <v>278</v>
      </c>
      <c r="B41" s="8" t="s">
        <v>279</v>
      </c>
      <c r="C41" s="8" t="s">
        <v>280</v>
      </c>
      <c r="D41" s="9" t="s">
        <v>226</v>
      </c>
      <c r="E41" s="9" t="s">
        <v>104</v>
      </c>
      <c r="F41" s="9">
        <v>1</v>
      </c>
      <c r="G41" s="9" t="s">
        <v>102</v>
      </c>
      <c r="H41" s="8" t="s">
        <v>276</v>
      </c>
    </row>
    <row r="44" spans="1:8" ht="36" customHeight="1" x14ac:dyDescent="0.3">
      <c r="A44" s="28" t="s">
        <v>316</v>
      </c>
      <c r="B44" s="22"/>
      <c r="C44" s="22"/>
      <c r="D44" s="22"/>
      <c r="E44" s="22"/>
      <c r="F44" s="22"/>
      <c r="G44" s="22"/>
      <c r="H44" s="23"/>
    </row>
  </sheetData>
  <mergeCells count="2">
    <mergeCell ref="A44:H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CATÁLOGO DE ESPECIES</vt:lpstr>
      <vt:lpstr>PRECIOS</vt:lpstr>
      <vt:lpstr>LEYENDA DE CÓDIGOS</vt:lpstr>
      <vt:lpstr>ÍNDICE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Velasco Márquez</cp:lastModifiedBy>
  <dcterms:created xsi:type="dcterms:W3CDTF">2026-03-13T16:01:08Z</dcterms:created>
  <dcterms:modified xsi:type="dcterms:W3CDTF">2026-05-03T12:01:06Z</dcterms:modified>
</cp:coreProperties>
</file>